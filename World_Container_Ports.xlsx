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laireBrotherton\Downloads\"/>
    </mc:Choice>
  </mc:AlternateContent>
  <xr:revisionPtr revIDLastSave="0" documentId="13_ncr:1_{CF153422-7B3B-4C1A-AAD0-4DD22D18033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tainer Ports" sheetId="1" r:id="rId1"/>
    <sheet name="Summary" sheetId="2" r:id="rId2"/>
  </sheets>
  <definedNames>
    <definedName name="_xlnm._FilterDatabase" localSheetId="0" hidden="1">'Container Ports'!$A$1:$E$261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  <c r="C5" i="2"/>
  <c r="B5" i="2"/>
  <c r="C4" i="2"/>
  <c r="B4" i="2"/>
  <c r="C3" i="2"/>
  <c r="B3" i="2"/>
  <c r="C2" i="2"/>
  <c r="B2" i="2"/>
  <c r="C7" i="2" l="1"/>
</calcChain>
</file>

<file path=xl/sharedStrings.xml><?xml version="1.0" encoding="utf-8"?>
<sst xmlns="http://schemas.openxmlformats.org/spreadsheetml/2006/main" count="1314" uniqueCount="622">
  <si>
    <t>Region</t>
  </si>
  <si>
    <t>Country</t>
  </si>
  <si>
    <t>Port</t>
  </si>
  <si>
    <t>UN/LOCODE</t>
  </si>
  <si>
    <t>Tradelane</t>
  </si>
  <si>
    <t>Americas</t>
  </si>
  <si>
    <t>USA</t>
  </si>
  <si>
    <t>Los Angeles</t>
  </si>
  <si>
    <t>USLAX</t>
  </si>
  <si>
    <t>North America West Coast</t>
  </si>
  <si>
    <t>Long Beach</t>
  </si>
  <si>
    <t>USLGB</t>
  </si>
  <si>
    <t>New York / New Jersey</t>
  </si>
  <si>
    <t>USNYC</t>
  </si>
  <si>
    <t>North America East Coast</t>
  </si>
  <si>
    <t>USNWK</t>
  </si>
  <si>
    <t>Savannah</t>
  </si>
  <si>
    <t>USSAV</t>
  </si>
  <si>
    <t>Houston</t>
  </si>
  <si>
    <t>USHOU</t>
  </si>
  <si>
    <t>North America Gulf Coast</t>
  </si>
  <si>
    <t>Seattle</t>
  </si>
  <si>
    <t>USSEA</t>
  </si>
  <si>
    <t>Tacoma</t>
  </si>
  <si>
    <t>USTIW</t>
  </si>
  <si>
    <t>Charleston</t>
  </si>
  <si>
    <t>USCHS</t>
  </si>
  <si>
    <t>Norfolk</t>
  </si>
  <si>
    <t>USORV</t>
  </si>
  <si>
    <t>USPVG</t>
  </si>
  <si>
    <t>Baltimore</t>
  </si>
  <si>
    <t>USBAL</t>
  </si>
  <si>
    <t>Miami</t>
  </si>
  <si>
    <t>USMIA</t>
  </si>
  <si>
    <t>Jacksonville</t>
  </si>
  <si>
    <t>USJAX</t>
  </si>
  <si>
    <t>Oakland</t>
  </si>
  <si>
    <t>USOAK</t>
  </si>
  <si>
    <t>New Orleans</t>
  </si>
  <si>
    <t>USMSY</t>
  </si>
  <si>
    <t>Boston</t>
  </si>
  <si>
    <t>USBOS</t>
  </si>
  <si>
    <t>Canada</t>
  </si>
  <si>
    <t>Vancouver</t>
  </si>
  <si>
    <t>CAVAN</t>
  </si>
  <si>
    <t>Montreal</t>
  </si>
  <si>
    <t>CAMTR</t>
  </si>
  <si>
    <t>Halifax</t>
  </si>
  <si>
    <t>CAHAL</t>
  </si>
  <si>
    <t>Prince Rupert</t>
  </si>
  <si>
    <t>CAPRR</t>
  </si>
  <si>
    <t>Mexico</t>
  </si>
  <si>
    <t>Manzanillo</t>
  </si>
  <si>
    <t>MXZLO</t>
  </si>
  <si>
    <t>Veracruz</t>
  </si>
  <si>
    <t>MXVER</t>
  </si>
  <si>
    <t>Lázaro Cárdenas</t>
  </si>
  <si>
    <t>MXLZC</t>
  </si>
  <si>
    <t>Altamira</t>
  </si>
  <si>
    <t>MXATM</t>
  </si>
  <si>
    <t>Panama</t>
  </si>
  <si>
    <t>Balboa</t>
  </si>
  <si>
    <t>PABLB</t>
  </si>
  <si>
    <t>Colón (Manzanillo International Terminal)</t>
  </si>
  <si>
    <t>PAMIT</t>
  </si>
  <si>
    <t>PAONX</t>
  </si>
  <si>
    <t>Cristóbal</t>
  </si>
  <si>
    <t>Colombia</t>
  </si>
  <si>
    <t>Cartagena</t>
  </si>
  <si>
    <t>COCTG</t>
  </si>
  <si>
    <t>Buenaventura</t>
  </si>
  <si>
    <t>COBUN</t>
  </si>
  <si>
    <t>South America West Coast</t>
  </si>
  <si>
    <t>Barranquilla</t>
  </si>
  <si>
    <t>COBAQ</t>
  </si>
  <si>
    <t>Brazil</t>
  </si>
  <si>
    <t>Santos</t>
  </si>
  <si>
    <t>BRSSZ</t>
  </si>
  <si>
    <t>South America East Coast</t>
  </si>
  <si>
    <t>Itajaí</t>
  </si>
  <si>
    <t>BRITJ</t>
  </si>
  <si>
    <t>Rio de Janeiro</t>
  </si>
  <si>
    <t>BRRIO</t>
  </si>
  <si>
    <t>Paranaguá</t>
  </si>
  <si>
    <t>BRPNG</t>
  </si>
  <si>
    <t>Suape</t>
  </si>
  <si>
    <t>BRIPE</t>
  </si>
  <si>
    <t>Salvador</t>
  </si>
  <si>
    <t>BRSSA</t>
  </si>
  <si>
    <t>Manaus</t>
  </si>
  <si>
    <t>BRMAO</t>
  </si>
  <si>
    <t>Argentina</t>
  </si>
  <si>
    <t>Buenos Aires</t>
  </si>
  <si>
    <t>ARBUE</t>
  </si>
  <si>
    <t>Rosario</t>
  </si>
  <si>
    <t>ARROS</t>
  </si>
  <si>
    <t>Chile</t>
  </si>
  <si>
    <t>San Antonio</t>
  </si>
  <si>
    <t>CLSAI</t>
  </si>
  <si>
    <t>Valparaíso</t>
  </si>
  <si>
    <t>CLVAP</t>
  </si>
  <si>
    <t>Iquique</t>
  </si>
  <si>
    <t>CLIQQ</t>
  </si>
  <si>
    <t>Peru</t>
  </si>
  <si>
    <t>Callao</t>
  </si>
  <si>
    <t>PECLL</t>
  </si>
  <si>
    <t>Ecuador</t>
  </si>
  <si>
    <t>Guayaquil</t>
  </si>
  <si>
    <t>ECGYE</t>
  </si>
  <si>
    <t>Venezuela</t>
  </si>
  <si>
    <t>La Guaira</t>
  </si>
  <si>
    <t>VELGU</t>
  </si>
  <si>
    <t>Puerto Cabello</t>
  </si>
  <si>
    <t>VEPBL</t>
  </si>
  <si>
    <t>Dominican Republic</t>
  </si>
  <si>
    <t>Santo Domingo</t>
  </si>
  <si>
    <t>DOSDQ</t>
  </si>
  <si>
    <t>Jamaica</t>
  </si>
  <si>
    <t>Kingston Container Terminal</t>
  </si>
  <si>
    <t>JMKIN</t>
  </si>
  <si>
    <t>Trinidad and Tobago</t>
  </si>
  <si>
    <t>Port of Spain</t>
  </si>
  <si>
    <t>TTPOS</t>
  </si>
  <si>
    <t>Cuba</t>
  </si>
  <si>
    <t>Havana</t>
  </si>
  <si>
    <t>CUHAV</t>
  </si>
  <si>
    <t>Guatemala</t>
  </si>
  <si>
    <t>Santo Tomás de Castilla</t>
  </si>
  <si>
    <t>GTSTC</t>
  </si>
  <si>
    <t>Costa Rica</t>
  </si>
  <si>
    <t>Limón</t>
  </si>
  <si>
    <t>CRLIM</t>
  </si>
  <si>
    <t>Honduras</t>
  </si>
  <si>
    <t>Puerto Cortés</t>
  </si>
  <si>
    <t>HNPCR</t>
  </si>
  <si>
    <t>El Salvador</t>
  </si>
  <si>
    <t>Acajutla</t>
  </si>
  <si>
    <t>SVACJ</t>
  </si>
  <si>
    <t>Uruguay</t>
  </si>
  <si>
    <t>Montevideo</t>
  </si>
  <si>
    <t>UYMVD</t>
  </si>
  <si>
    <t>Bahamas</t>
  </si>
  <si>
    <t>Freeport Container Port</t>
  </si>
  <si>
    <t>BSFPO</t>
  </si>
  <si>
    <t>Europe</t>
  </si>
  <si>
    <t>Netherlands</t>
  </si>
  <si>
    <t>Rotterdam</t>
  </si>
  <si>
    <t>NLRTM</t>
  </si>
  <si>
    <t>North Europe</t>
  </si>
  <si>
    <t>Germany</t>
  </si>
  <si>
    <t>Hamburg</t>
  </si>
  <si>
    <t>DEHAM</t>
  </si>
  <si>
    <t>Belgium</t>
  </si>
  <si>
    <t>Antwerp-Bruges</t>
  </si>
  <si>
    <t>BEANR</t>
  </si>
  <si>
    <t>BEBRG</t>
  </si>
  <si>
    <t>United Kingdom</t>
  </si>
  <si>
    <t>Felixstowe</t>
  </si>
  <si>
    <t>GBFXT</t>
  </si>
  <si>
    <t>Southampton</t>
  </si>
  <si>
    <t>GBSOU</t>
  </si>
  <si>
    <t>London (Tilbury)</t>
  </si>
  <si>
    <t>GBTI2</t>
  </si>
  <si>
    <t>Liverpool</t>
  </si>
  <si>
    <t>GBLIV</t>
  </si>
  <si>
    <t>Spain</t>
  </si>
  <si>
    <t>Algeciras</t>
  </si>
  <si>
    <t>ESALG</t>
  </si>
  <si>
    <t>Mediterranean</t>
  </si>
  <si>
    <t>Valencia</t>
  </si>
  <si>
    <t>ESVLC</t>
  </si>
  <si>
    <t>Barcelona</t>
  </si>
  <si>
    <t>ESBCN</t>
  </si>
  <si>
    <t>Bilbao</t>
  </si>
  <si>
    <t>ESBIO</t>
  </si>
  <si>
    <t>France</t>
  </si>
  <si>
    <t>Le Havre</t>
  </si>
  <si>
    <t>FRLEH</t>
  </si>
  <si>
    <t>Marseille</t>
  </si>
  <si>
    <t>FRMRS</t>
  </si>
  <si>
    <t>Italy</t>
  </si>
  <si>
    <t>Gioia Tauro</t>
  </si>
  <si>
    <t>ITGIT</t>
  </si>
  <si>
    <t>Genoa</t>
  </si>
  <si>
    <t>ITGOA</t>
  </si>
  <si>
    <t>La Spezia</t>
  </si>
  <si>
    <t>ITSPZ</t>
  </si>
  <si>
    <t>Livorno</t>
  </si>
  <si>
    <t>ITLIV</t>
  </si>
  <si>
    <t>Trieste</t>
  </si>
  <si>
    <t>ITTRS</t>
  </si>
  <si>
    <t>Taranto</t>
  </si>
  <si>
    <t>ITTAR</t>
  </si>
  <si>
    <t>Greece</t>
  </si>
  <si>
    <t>Piraeus</t>
  </si>
  <si>
    <t>GRPIR</t>
  </si>
  <si>
    <t>Thessaloniki</t>
  </si>
  <si>
    <t>GRTHE</t>
  </si>
  <si>
    <t>Malta</t>
  </si>
  <si>
    <t>Marsaxlokk (Malta Freeport)</t>
  </si>
  <si>
    <t>MTMFP</t>
  </si>
  <si>
    <t>Portugal</t>
  </si>
  <si>
    <t>Sines</t>
  </si>
  <si>
    <t>PTSIN</t>
  </si>
  <si>
    <t>Lisbon</t>
  </si>
  <si>
    <t>PTLIS</t>
  </si>
  <si>
    <t>Sweden</t>
  </si>
  <si>
    <t>Gothenburg</t>
  </si>
  <si>
    <t>SEGOT</t>
  </si>
  <si>
    <t>Denmark</t>
  </si>
  <si>
    <t>Aarhus</t>
  </si>
  <si>
    <t>DKAAR</t>
  </si>
  <si>
    <t>Copenhagen</t>
  </si>
  <si>
    <t>DKCPH</t>
  </si>
  <si>
    <t>Finland</t>
  </si>
  <si>
    <t>Helsinki</t>
  </si>
  <si>
    <t>FIHEL</t>
  </si>
  <si>
    <t>Norway</t>
  </si>
  <si>
    <t>Oslo</t>
  </si>
  <si>
    <t>NOOSL</t>
  </si>
  <si>
    <t>Poland</t>
  </si>
  <si>
    <t>Gdańsk</t>
  </si>
  <si>
    <t>PLGDN</t>
  </si>
  <si>
    <t>Gdynia</t>
  </si>
  <si>
    <t>PLGDY</t>
  </si>
  <si>
    <t>Lithuania</t>
  </si>
  <si>
    <t>Klaipėda</t>
  </si>
  <si>
    <t>LTKLJ</t>
  </si>
  <si>
    <t>Latvia</t>
  </si>
  <si>
    <t>Riga</t>
  </si>
  <si>
    <t>LVRIX</t>
  </si>
  <si>
    <t>Estonia</t>
  </si>
  <si>
    <t>Tallinn</t>
  </si>
  <si>
    <t>EETLL</t>
  </si>
  <si>
    <t>Russia</t>
  </si>
  <si>
    <t>St. Petersburg</t>
  </si>
  <si>
    <t>RULED</t>
  </si>
  <si>
    <t>Novorossiysk</t>
  </si>
  <si>
    <t>RUNVS</t>
  </si>
  <si>
    <t>Ukraine</t>
  </si>
  <si>
    <t>Odessa</t>
  </si>
  <si>
    <t>UAODS</t>
  </si>
  <si>
    <t>Romania</t>
  </si>
  <si>
    <t>Constanța</t>
  </si>
  <si>
    <t>ROCND</t>
  </si>
  <si>
    <t>Turkey</t>
  </si>
  <si>
    <t>Istanbul (Ambarlı)</t>
  </si>
  <si>
    <t>TRIST</t>
  </si>
  <si>
    <t>TRAMB</t>
  </si>
  <si>
    <t>Mersin</t>
  </si>
  <si>
    <t>TRMER</t>
  </si>
  <si>
    <t>İzmir</t>
  </si>
  <si>
    <t>TRIZM</t>
  </si>
  <si>
    <t>Gemlik</t>
  </si>
  <si>
    <t>TRGEM</t>
  </si>
  <si>
    <t>Croatia</t>
  </si>
  <si>
    <t>Rijeka</t>
  </si>
  <si>
    <t>HRRI2</t>
  </si>
  <si>
    <t>Slovenia</t>
  </si>
  <si>
    <t>Koper</t>
  </si>
  <si>
    <t>SIKOP</t>
  </si>
  <si>
    <t>Cyprus</t>
  </si>
  <si>
    <t>Limassol</t>
  </si>
  <si>
    <t>CYLMS</t>
  </si>
  <si>
    <t>Iceland</t>
  </si>
  <si>
    <t>Reykjavik</t>
  </si>
  <si>
    <t>ISREY</t>
  </si>
  <si>
    <t>Middle East &amp; Africa</t>
  </si>
  <si>
    <t>UAE</t>
  </si>
  <si>
    <t>Jebel Ali Port</t>
  </si>
  <si>
    <t>AEJEA</t>
  </si>
  <si>
    <t>Abu Dhabi (Khalifa Port)</t>
  </si>
  <si>
    <t>AEAUH</t>
  </si>
  <si>
    <t>AEKHL</t>
  </si>
  <si>
    <t>Sharjah</t>
  </si>
  <si>
    <t>AESHJ</t>
  </si>
  <si>
    <t>Saudi Arabia</t>
  </si>
  <si>
    <t>Jeddah</t>
  </si>
  <si>
    <t>SAJED</t>
  </si>
  <si>
    <t>Dammam (King Abdul Aziz)</t>
  </si>
  <si>
    <t>SADMM</t>
  </si>
  <si>
    <t>Jubail</t>
  </si>
  <si>
    <t>SAJUB</t>
  </si>
  <si>
    <t>Oman</t>
  </si>
  <si>
    <t>Salalah</t>
  </si>
  <si>
    <t>OMSLL</t>
  </si>
  <si>
    <t>Sohar</t>
  </si>
  <si>
    <t>OMSOH</t>
  </si>
  <si>
    <t>Muscat</t>
  </si>
  <si>
    <t>OMMCT</t>
  </si>
  <si>
    <t>Qatar</t>
  </si>
  <si>
    <t>Hamad</t>
  </si>
  <si>
    <t>QAHMD</t>
  </si>
  <si>
    <t>Kuwait</t>
  </si>
  <si>
    <t>Shuwaikh</t>
  </si>
  <si>
    <t>KWKWI</t>
  </si>
  <si>
    <t>Bahrain</t>
  </si>
  <si>
    <t>Khalifa bin Salman</t>
  </si>
  <si>
    <t>BHKBS</t>
  </si>
  <si>
    <t>Iraq</t>
  </si>
  <si>
    <t>Umm Qasr</t>
  </si>
  <si>
    <t>IQUQR</t>
  </si>
  <si>
    <t>Jordan</t>
  </si>
  <si>
    <t>Aqaba</t>
  </si>
  <si>
    <t>JOAQJ</t>
  </si>
  <si>
    <t>Israel</t>
  </si>
  <si>
    <t>Haifa</t>
  </si>
  <si>
    <t>ILHFA</t>
  </si>
  <si>
    <t>Ashdod</t>
  </si>
  <si>
    <t>ILASH</t>
  </si>
  <si>
    <t>Egypt</t>
  </si>
  <si>
    <t>Alexandria</t>
  </si>
  <si>
    <t>EGALX</t>
  </si>
  <si>
    <t>Port Said</t>
  </si>
  <si>
    <t>EGPSD</t>
  </si>
  <si>
    <t>EGPOS</t>
  </si>
  <si>
    <t>Damietta</t>
  </si>
  <si>
    <t>EGDAM</t>
  </si>
  <si>
    <t>Morocco</t>
  </si>
  <si>
    <t>Tanger Med</t>
  </si>
  <si>
    <t>MATNG</t>
  </si>
  <si>
    <t>Casablanca</t>
  </si>
  <si>
    <t>MACAS</t>
  </si>
  <si>
    <t>Algeria</t>
  </si>
  <si>
    <t>Algiers</t>
  </si>
  <si>
    <t>DZALG</t>
  </si>
  <si>
    <t>Tunisia</t>
  </si>
  <si>
    <t>Tunis (La Goulette)</t>
  </si>
  <si>
    <t>TNTUNIS</t>
  </si>
  <si>
    <t>Libya</t>
  </si>
  <si>
    <t>Tripoli</t>
  </si>
  <si>
    <t>LYTIP</t>
  </si>
  <si>
    <t>Djibouti</t>
  </si>
  <si>
    <t>Djibouti (Doraleh)</t>
  </si>
  <si>
    <t>DJJIB</t>
  </si>
  <si>
    <t>East Africa</t>
  </si>
  <si>
    <t>DJDOR</t>
  </si>
  <si>
    <t>Kenya</t>
  </si>
  <si>
    <t>Mombasa</t>
  </si>
  <si>
    <t>KEMBA</t>
  </si>
  <si>
    <t>Tanzania</t>
  </si>
  <si>
    <t>Dar es Salaam</t>
  </si>
  <si>
    <t>TZDAR</t>
  </si>
  <si>
    <t>Mozambique</t>
  </si>
  <si>
    <t>Maputo</t>
  </si>
  <si>
    <t>MZMPM</t>
  </si>
  <si>
    <t>South Africa</t>
  </si>
  <si>
    <t>Durban</t>
  </si>
  <si>
    <t>ZADUR</t>
  </si>
  <si>
    <t>Cape Town</t>
  </si>
  <si>
    <t>ZACPT</t>
  </si>
  <si>
    <t>Port Elizabeth (Ngqura)</t>
  </si>
  <si>
    <t>ZAPLZ</t>
  </si>
  <si>
    <t>ZANGQ</t>
  </si>
  <si>
    <t>Nigeria</t>
  </si>
  <si>
    <t>Lagos (Apapa)</t>
  </si>
  <si>
    <t>NGLOS</t>
  </si>
  <si>
    <t>West Africa</t>
  </si>
  <si>
    <t>NGTIN</t>
  </si>
  <si>
    <t>Tin Can Island</t>
  </si>
  <si>
    <t>Ghana</t>
  </si>
  <si>
    <t>Tema</t>
  </si>
  <si>
    <t>GHTEM</t>
  </si>
  <si>
    <t>Côte d'Ivoire</t>
  </si>
  <si>
    <t>Abidjan</t>
  </si>
  <si>
    <t>CIABJ</t>
  </si>
  <si>
    <t>Senegal</t>
  </si>
  <si>
    <t>Dakar</t>
  </si>
  <si>
    <t>SNDKR</t>
  </si>
  <si>
    <t>Togo</t>
  </si>
  <si>
    <t>Lomé</t>
  </si>
  <si>
    <t>TGLFW</t>
  </si>
  <si>
    <t>Cameroon</t>
  </si>
  <si>
    <t>Douala</t>
  </si>
  <si>
    <t>CMDLA</t>
  </si>
  <si>
    <t>Ethiopia</t>
  </si>
  <si>
    <t>Berbera (via Somaliland)</t>
  </si>
  <si>
    <t>SOBBO</t>
  </si>
  <si>
    <t>Mauritius</t>
  </si>
  <si>
    <t>Port Louis</t>
  </si>
  <si>
    <t>MUPLU</t>
  </si>
  <si>
    <t>Madagascar</t>
  </si>
  <si>
    <t>Toamasina</t>
  </si>
  <si>
    <t>MGTLE</t>
  </si>
  <si>
    <t>Asia</t>
  </si>
  <si>
    <t>China</t>
  </si>
  <si>
    <t>Shanghai</t>
  </si>
  <si>
    <t>CNSGH</t>
  </si>
  <si>
    <t>North Asia</t>
  </si>
  <si>
    <t>CNSHG</t>
  </si>
  <si>
    <t>CHSHA</t>
  </si>
  <si>
    <t>Shenzhen</t>
  </si>
  <si>
    <t>CNSZX</t>
  </si>
  <si>
    <t>CNYTN</t>
  </si>
  <si>
    <t>Yantian</t>
  </si>
  <si>
    <t>CNSHK</t>
  </si>
  <si>
    <t>Shekou</t>
  </si>
  <si>
    <t>CNCHI</t>
  </si>
  <si>
    <t>Chiwan</t>
  </si>
  <si>
    <t>CNNBO</t>
  </si>
  <si>
    <t>Ningbo</t>
  </si>
  <si>
    <t>CNZOS</t>
  </si>
  <si>
    <t>CNGZU</t>
  </si>
  <si>
    <t>CNNSA</t>
  </si>
  <si>
    <t>Nansha</t>
  </si>
  <si>
    <t>CNHUG</t>
  </si>
  <si>
    <t>Tianjin (Xingang)</t>
  </si>
  <si>
    <t>CNTSN</t>
  </si>
  <si>
    <t>CNXGG</t>
  </si>
  <si>
    <t>Xingang</t>
  </si>
  <si>
    <t>Qingdao</t>
  </si>
  <si>
    <t>CNTAO</t>
  </si>
  <si>
    <t>Xiamen</t>
  </si>
  <si>
    <t>CNXMN</t>
  </si>
  <si>
    <t>CNHAG</t>
  </si>
  <si>
    <t>Dalian</t>
  </si>
  <si>
    <t>CNDLC</t>
  </si>
  <si>
    <t>Lianyungang</t>
  </si>
  <si>
    <t>CNLYG</t>
  </si>
  <si>
    <t>Nanjing</t>
  </si>
  <si>
    <t>CNNKG</t>
  </si>
  <si>
    <t>Suzhou</t>
  </si>
  <si>
    <t>CNSUZ</t>
  </si>
  <si>
    <t>CNTAG</t>
  </si>
  <si>
    <t>Taicang</t>
  </si>
  <si>
    <t>Wuhan</t>
  </si>
  <si>
    <t>CNWUH</t>
  </si>
  <si>
    <t>Fuzhou</t>
  </si>
  <si>
    <t>CNFOC</t>
  </si>
  <si>
    <t>CNFSN</t>
  </si>
  <si>
    <t>Yingkou</t>
  </si>
  <si>
    <t>CNYIK</t>
  </si>
  <si>
    <t>Rizhao</t>
  </si>
  <si>
    <t>CNRZH</t>
  </si>
  <si>
    <t>Tangshan (Caofeidian)</t>
  </si>
  <si>
    <t>CNTGS</t>
  </si>
  <si>
    <t>CNCFD</t>
  </si>
  <si>
    <t>Hong Kong</t>
  </si>
  <si>
    <t>HKHKG</t>
  </si>
  <si>
    <t>Taiwan</t>
  </si>
  <si>
    <t>Kaohsiung</t>
  </si>
  <si>
    <t>TWKHH</t>
  </si>
  <si>
    <t>Taichung</t>
  </si>
  <si>
    <t>TWTXG</t>
  </si>
  <si>
    <t>Keelung</t>
  </si>
  <si>
    <t>TWKEL</t>
  </si>
  <si>
    <t>South Korea</t>
  </si>
  <si>
    <t>Busan</t>
  </si>
  <si>
    <t>KRPUS</t>
  </si>
  <si>
    <t>Incheon</t>
  </si>
  <si>
    <t>KRINC</t>
  </si>
  <si>
    <t>Gwangyang</t>
  </si>
  <si>
    <t>KRKWJ</t>
  </si>
  <si>
    <t>Japan</t>
  </si>
  <si>
    <t>Tokyo</t>
  </si>
  <si>
    <t>JPTYO</t>
  </si>
  <si>
    <t>Yokohama</t>
  </si>
  <si>
    <t>JPYOK</t>
  </si>
  <si>
    <t>Osaka</t>
  </si>
  <si>
    <t>JPOSA</t>
  </si>
  <si>
    <t>Kobe</t>
  </si>
  <si>
    <t>JPUKB</t>
  </si>
  <si>
    <t>Nagoya</t>
  </si>
  <si>
    <t>JPNGO</t>
  </si>
  <si>
    <t>Hakata</t>
  </si>
  <si>
    <t>JPFUK</t>
  </si>
  <si>
    <t>Singapore</t>
  </si>
  <si>
    <t>SGSIN</t>
  </si>
  <si>
    <t>South East Asia</t>
  </si>
  <si>
    <t>Malaysia</t>
  </si>
  <si>
    <t>MYPKG</t>
  </si>
  <si>
    <t>MYNKL</t>
  </si>
  <si>
    <t>MYPTP</t>
  </si>
  <si>
    <t>Tanjung Pelepas</t>
  </si>
  <si>
    <t>Penang</t>
  </si>
  <si>
    <t>MYPEN</t>
  </si>
  <si>
    <t>Johor</t>
  </si>
  <si>
    <t>MYJOH</t>
  </si>
  <si>
    <t>Indonesia</t>
  </si>
  <si>
    <t>Tanjung Priok (Jakarta)</t>
  </si>
  <si>
    <t>IDJKT</t>
  </si>
  <si>
    <t>IDTPK</t>
  </si>
  <si>
    <t>Tanjung Perak (Surabaya)</t>
  </si>
  <si>
    <t>IDSUB</t>
  </si>
  <si>
    <t>IDTPE</t>
  </si>
  <si>
    <t>Belawan (Medan)</t>
  </si>
  <si>
    <t>IDBLW</t>
  </si>
  <si>
    <t>Makassar</t>
  </si>
  <si>
    <t>IDUPG</t>
  </si>
  <si>
    <t>Thailand</t>
  </si>
  <si>
    <t>Laem Chabang</t>
  </si>
  <si>
    <t>THLCH</t>
  </si>
  <si>
    <t>Bangkok</t>
  </si>
  <si>
    <t>THBKK</t>
  </si>
  <si>
    <t>Vietnam</t>
  </si>
  <si>
    <t>Ho Chi Minh City (Cai Mep)</t>
  </si>
  <si>
    <t>VNSGN</t>
  </si>
  <si>
    <t>VNCMP</t>
  </si>
  <si>
    <t>Haiphong</t>
  </si>
  <si>
    <t>VNHPH</t>
  </si>
  <si>
    <t>Da Nang</t>
  </si>
  <si>
    <t>VNDAD</t>
  </si>
  <si>
    <t>Philippines</t>
  </si>
  <si>
    <t>Manila</t>
  </si>
  <si>
    <t>PHMNL</t>
  </si>
  <si>
    <t>PHMNB</t>
  </si>
  <si>
    <t>PHMNS</t>
  </si>
  <si>
    <t>Cebu</t>
  </si>
  <si>
    <t>PHCEB</t>
  </si>
  <si>
    <t>Davao</t>
  </si>
  <si>
    <t>PHDVO</t>
  </si>
  <si>
    <t>Myanmar</t>
  </si>
  <si>
    <t>Yangon</t>
  </si>
  <si>
    <t>MMRGN</t>
  </si>
  <si>
    <t>Bangladesh</t>
  </si>
  <si>
    <t>Chittagong</t>
  </si>
  <si>
    <t>BDCGP</t>
  </si>
  <si>
    <t>Sri Lanka</t>
  </si>
  <si>
    <t>Colombo</t>
  </si>
  <si>
    <t>LKCMB</t>
  </si>
  <si>
    <t>India</t>
  </si>
  <si>
    <t>Jawaharlal Nehru Port (Mumbai)</t>
  </si>
  <si>
    <t>INNSA</t>
  </si>
  <si>
    <t>Mundra</t>
  </si>
  <si>
    <t>INMUN</t>
  </si>
  <si>
    <t>Chennai</t>
  </si>
  <si>
    <t>INMAA</t>
  </si>
  <si>
    <t>Visakhapatnam</t>
  </si>
  <si>
    <t>INVTZ</t>
  </si>
  <si>
    <t>Kolkata</t>
  </si>
  <si>
    <t>INCCU</t>
  </si>
  <si>
    <t>Kochi</t>
  </si>
  <si>
    <t>INCOK</t>
  </si>
  <si>
    <t>Pipavav</t>
  </si>
  <si>
    <t>INPAV</t>
  </si>
  <si>
    <t>Adani Hazira</t>
  </si>
  <si>
    <t>INHAZ</t>
  </si>
  <si>
    <t>Pakistan</t>
  </si>
  <si>
    <t>Karachi</t>
  </si>
  <si>
    <t>PKKHI</t>
  </si>
  <si>
    <t>Port Qasim</t>
  </si>
  <si>
    <t>PKPQM</t>
  </si>
  <si>
    <t>Cambodia</t>
  </si>
  <si>
    <t>Sihanoukville</t>
  </si>
  <si>
    <t>KHKOS</t>
  </si>
  <si>
    <t>Russia (Far East)</t>
  </si>
  <si>
    <t>Vladivostok</t>
  </si>
  <si>
    <t>RUVVO</t>
  </si>
  <si>
    <t>Oceania</t>
  </si>
  <si>
    <t>Australia</t>
  </si>
  <si>
    <t>Melbourne</t>
  </si>
  <si>
    <t>AUMEL</t>
  </si>
  <si>
    <t>Australia East Coast</t>
  </si>
  <si>
    <t>AUSYD</t>
  </si>
  <si>
    <t>Sydney</t>
  </si>
  <si>
    <t>Brisbane</t>
  </si>
  <si>
    <t>AUBNE</t>
  </si>
  <si>
    <t>AUFRE</t>
  </si>
  <si>
    <t>Fremantle</t>
  </si>
  <si>
    <t>Australia West Coast</t>
  </si>
  <si>
    <t>Adelaide</t>
  </si>
  <si>
    <t>AUADL</t>
  </si>
  <si>
    <t>Darwin</t>
  </si>
  <si>
    <t>AUDAW</t>
  </si>
  <si>
    <t>New Zealand</t>
  </si>
  <si>
    <t>Auckland</t>
  </si>
  <si>
    <t>NZAKL</t>
  </si>
  <si>
    <t>Tauranga</t>
  </si>
  <si>
    <t>NZTRG</t>
  </si>
  <si>
    <t>NZLYT</t>
  </si>
  <si>
    <t>Lyttelton</t>
  </si>
  <si>
    <t>Wellington</t>
  </si>
  <si>
    <t>NZWLG</t>
  </si>
  <si>
    <t>Napier</t>
  </si>
  <si>
    <t>NZNPE</t>
  </si>
  <si>
    <t>Papua New Guinea</t>
  </si>
  <si>
    <t>Lae</t>
  </si>
  <si>
    <t>PGLAE</t>
  </si>
  <si>
    <t>Port Moresby</t>
  </si>
  <si>
    <t>PGPOM</t>
  </si>
  <si>
    <t>Fiji</t>
  </si>
  <si>
    <t>Suva</t>
  </si>
  <si>
    <t>FJSUV</t>
  </si>
  <si>
    <t>Lautoka</t>
  </si>
  <si>
    <t>FJLTK</t>
  </si>
  <si>
    <t>Solomon Islands</t>
  </si>
  <si>
    <t>Honiara</t>
  </si>
  <si>
    <t>SBHIR</t>
  </si>
  <si>
    <t>Vanuatu</t>
  </si>
  <si>
    <t>Port Vila</t>
  </si>
  <si>
    <t>VUVLI</t>
  </si>
  <si>
    <t>Samoa</t>
  </si>
  <si>
    <t>Apia</t>
  </si>
  <si>
    <t>WSAPW</t>
  </si>
  <si>
    <t>Tonga</t>
  </si>
  <si>
    <t>Nuku'alofa</t>
  </si>
  <si>
    <t>TONFU</t>
  </si>
  <si>
    <t>French Polynesia</t>
  </si>
  <si>
    <t>Papeete</t>
  </si>
  <si>
    <t>PFPPT</t>
  </si>
  <si>
    <t>New Caledonia</t>
  </si>
  <si>
    <t>Nouméa</t>
  </si>
  <si>
    <t>NCNOU</t>
  </si>
  <si>
    <t>Guam</t>
  </si>
  <si>
    <t>Apra</t>
  </si>
  <si>
    <t>GUAPRA</t>
  </si>
  <si>
    <t>Unique Ports</t>
  </si>
  <si>
    <t>LOCODE Entries</t>
  </si>
  <si>
    <t>TOTAL</t>
  </si>
  <si>
    <t>Central America</t>
  </si>
  <si>
    <t>Pacific</t>
  </si>
  <si>
    <t>Zoshan</t>
  </si>
  <si>
    <t xml:space="preserve">Guangzhou </t>
  </si>
  <si>
    <t>CNQIN</t>
  </si>
  <si>
    <t>CNQDG</t>
  </si>
  <si>
    <t>Port Kelang</t>
  </si>
  <si>
    <t>MYTPP</t>
  </si>
  <si>
    <t>Hobart</t>
  </si>
  <si>
    <t>AUHOB</t>
  </si>
  <si>
    <t>Middle East &amp; India</t>
  </si>
  <si>
    <t>Port Chalmers</t>
  </si>
  <si>
    <t>NZPOE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</si>
</sst>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Courier New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8DAEF"/>
        <bgColor rgb="FFD6E4F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AE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2" borderId="1" xfId="0" applyFont="1" applyFill="1" applyBorder="1"/>
    <xf numFmtId="0" fontId="6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11" borderId="2" xfId="0" applyFont="1" applyFill="1" applyBorder="1" applyAlignment="1">
      <alignment vertical="center"/>
    </xf>
    <xf numFmtId="0" fontId="7" fillId="12" borderId="2" xfId="0" applyFont="1" applyFill="1" applyBorder="1" applyAlignment="1">
      <alignment vertical="center"/>
    </xf>
    <xf numFmtId="0" fontId="7" fillId="13" borderId="2" xfId="0" applyFont="1" applyFill="1" applyBorder="1" applyAlignment="1">
      <alignment vertical="center"/>
    </xf>
    <xf numFmtId="0" fontId="1" fillId="11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0" fontId="1" fillId="1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zoomScaleNormal="100" workbookViewId="0">
      <pane ySplit="1" topLeftCell="A2" activePane="bottomLeft" state="frozen"/>
      <selection pane="bottomLeft" activeCell="E101" sqref="E101"/>
    </sheetView>
  </sheetViews>
  <sheetFormatPr defaultColWidth="8.7109375" defaultRowHeight="15" x14ac:dyDescent="0.25"/>
  <cols>
    <col min="1" max="1" width="22" customWidth="1"/>
    <col min="2" max="2" width="24" customWidth="1"/>
    <col min="3" max="3" width="35" customWidth="1"/>
    <col min="4" max="4" width="14" customWidth="1"/>
    <col min="5" max="5" width="30" customWidth="1"/>
  </cols>
  <sheetData>
    <row r="1" spans="1:5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</row>
    <row r="2" spans="1:5" ht="15" customHeight="1" x14ac:dyDescent="0.25">
      <c r="A2" s="10" t="s">
        <v>548</v>
      </c>
      <c r="B2" s="10" t="s">
        <v>549</v>
      </c>
      <c r="C2" s="10" t="s">
        <v>550</v>
      </c>
      <c r="D2" s="11" t="s">
        <v>551</v>
      </c>
      <c r="E2" s="18" t="s">
        <v>552</v>
      </c>
    </row>
    <row r="3" spans="1:5" ht="15" customHeight="1" x14ac:dyDescent="0.25">
      <c r="A3" s="10" t="s">
        <v>548</v>
      </c>
      <c r="B3" s="10" t="s">
        <v>549</v>
      </c>
      <c r="C3" s="10" t="s">
        <v>554</v>
      </c>
      <c r="D3" s="11" t="s">
        <v>553</v>
      </c>
      <c r="E3" s="18" t="s">
        <v>552</v>
      </c>
    </row>
    <row r="4" spans="1:5" ht="15" customHeight="1" x14ac:dyDescent="0.25">
      <c r="A4" s="10" t="s">
        <v>548</v>
      </c>
      <c r="B4" s="10" t="s">
        <v>549</v>
      </c>
      <c r="C4" s="10" t="s">
        <v>617</v>
      </c>
      <c r="D4" s="11" t="s">
        <v>618</v>
      </c>
      <c r="E4" s="18" t="s">
        <v>552</v>
      </c>
    </row>
    <row r="5" spans="1:5" ht="15" customHeight="1" x14ac:dyDescent="0.25">
      <c r="A5" s="10" t="s">
        <v>548</v>
      </c>
      <c r="B5" s="10" t="s">
        <v>549</v>
      </c>
      <c r="C5" s="10" t="s">
        <v>555</v>
      </c>
      <c r="D5" s="11" t="s">
        <v>556</v>
      </c>
      <c r="E5" s="18" t="s">
        <v>552</v>
      </c>
    </row>
    <row r="6" spans="1:5" ht="15" customHeight="1" x14ac:dyDescent="0.25">
      <c r="A6" s="10" t="s">
        <v>548</v>
      </c>
      <c r="B6" s="10" t="s">
        <v>549</v>
      </c>
      <c r="C6" s="10" t="s">
        <v>558</v>
      </c>
      <c r="D6" s="11" t="s">
        <v>557</v>
      </c>
      <c r="E6" s="18" t="s">
        <v>559</v>
      </c>
    </row>
    <row r="7" spans="1:5" ht="15" customHeight="1" x14ac:dyDescent="0.25">
      <c r="A7" s="10" t="s">
        <v>548</v>
      </c>
      <c r="B7" s="10" t="s">
        <v>549</v>
      </c>
      <c r="C7" s="10" t="s">
        <v>560</v>
      </c>
      <c r="D7" s="11" t="s">
        <v>561</v>
      </c>
      <c r="E7" s="21" t="s">
        <v>559</v>
      </c>
    </row>
    <row r="8" spans="1:5" ht="15" customHeight="1" x14ac:dyDescent="0.25">
      <c r="A8" s="10" t="s">
        <v>548</v>
      </c>
      <c r="B8" s="10" t="s">
        <v>549</v>
      </c>
      <c r="C8" s="10" t="s">
        <v>562</v>
      </c>
      <c r="D8" s="11" t="s">
        <v>563</v>
      </c>
      <c r="E8" s="18" t="s">
        <v>559</v>
      </c>
    </row>
    <row r="9" spans="1:5" ht="15" customHeight="1" x14ac:dyDescent="0.25">
      <c r="A9" s="2" t="s">
        <v>5</v>
      </c>
      <c r="B9" s="2" t="s">
        <v>60</v>
      </c>
      <c r="C9" s="2" t="s">
        <v>61</v>
      </c>
      <c r="D9" s="3" t="s">
        <v>62</v>
      </c>
      <c r="E9" s="20" t="s">
        <v>609</v>
      </c>
    </row>
    <row r="10" spans="1:5" ht="15" customHeight="1" x14ac:dyDescent="0.25">
      <c r="A10" s="2" t="s">
        <v>5</v>
      </c>
      <c r="B10" s="2" t="s">
        <v>60</v>
      </c>
      <c r="C10" s="2" t="s">
        <v>63</v>
      </c>
      <c r="D10" s="3" t="s">
        <v>64</v>
      </c>
      <c r="E10" s="20" t="s">
        <v>609</v>
      </c>
    </row>
    <row r="11" spans="1:5" ht="15" customHeight="1" x14ac:dyDescent="0.25">
      <c r="A11" s="2" t="s">
        <v>5</v>
      </c>
      <c r="B11" s="2" t="s">
        <v>60</v>
      </c>
      <c r="C11" s="2" t="s">
        <v>63</v>
      </c>
      <c r="D11" s="3" t="s">
        <v>65</v>
      </c>
      <c r="E11" s="20" t="s">
        <v>609</v>
      </c>
    </row>
    <row r="12" spans="1:5" ht="15" customHeight="1" x14ac:dyDescent="0.25">
      <c r="A12" s="2" t="s">
        <v>5</v>
      </c>
      <c r="B12" s="2" t="s">
        <v>60</v>
      </c>
      <c r="C12" s="2" t="s">
        <v>66</v>
      </c>
      <c r="D12" s="3" t="s">
        <v>65</v>
      </c>
      <c r="E12" s="20" t="s">
        <v>609</v>
      </c>
    </row>
    <row r="13" spans="1:5" ht="15" customHeight="1" x14ac:dyDescent="0.25">
      <c r="A13" s="2" t="s">
        <v>5</v>
      </c>
      <c r="B13" s="2" t="s">
        <v>67</v>
      </c>
      <c r="C13" s="2" t="s">
        <v>68</v>
      </c>
      <c r="D13" s="3" t="s">
        <v>69</v>
      </c>
      <c r="E13" s="20" t="s">
        <v>609</v>
      </c>
    </row>
    <row r="14" spans="1:5" ht="15" customHeight="1" x14ac:dyDescent="0.25">
      <c r="A14" s="2" t="s">
        <v>5</v>
      </c>
      <c r="B14" s="2" t="s">
        <v>67</v>
      </c>
      <c r="C14" s="2" t="s">
        <v>73</v>
      </c>
      <c r="D14" s="3" t="s">
        <v>74</v>
      </c>
      <c r="E14" s="20" t="s">
        <v>609</v>
      </c>
    </row>
    <row r="15" spans="1:5" ht="15" customHeight="1" x14ac:dyDescent="0.25">
      <c r="A15" s="2" t="s">
        <v>5</v>
      </c>
      <c r="B15" s="2" t="s">
        <v>114</v>
      </c>
      <c r="C15" s="2" t="s">
        <v>115</v>
      </c>
      <c r="D15" s="3" t="s">
        <v>116</v>
      </c>
      <c r="E15" s="20" t="s">
        <v>609</v>
      </c>
    </row>
    <row r="16" spans="1:5" ht="15" customHeight="1" x14ac:dyDescent="0.25">
      <c r="A16" s="2" t="s">
        <v>5</v>
      </c>
      <c r="B16" s="2" t="s">
        <v>117</v>
      </c>
      <c r="C16" s="2" t="s">
        <v>118</v>
      </c>
      <c r="D16" s="3" t="s">
        <v>119</v>
      </c>
      <c r="E16" s="20" t="s">
        <v>609</v>
      </c>
    </row>
    <row r="17" spans="1:5" ht="15" customHeight="1" x14ac:dyDescent="0.25">
      <c r="A17" s="2" t="s">
        <v>5</v>
      </c>
      <c r="B17" s="2" t="s">
        <v>120</v>
      </c>
      <c r="C17" s="2" t="s">
        <v>121</v>
      </c>
      <c r="D17" s="3" t="s">
        <v>122</v>
      </c>
      <c r="E17" s="20" t="s">
        <v>609</v>
      </c>
    </row>
    <row r="18" spans="1:5" ht="15" customHeight="1" x14ac:dyDescent="0.25">
      <c r="A18" s="2" t="s">
        <v>5</v>
      </c>
      <c r="B18" s="2" t="s">
        <v>123</v>
      </c>
      <c r="C18" s="2" t="s">
        <v>124</v>
      </c>
      <c r="D18" s="3" t="s">
        <v>125</v>
      </c>
      <c r="E18" s="20" t="s">
        <v>609</v>
      </c>
    </row>
    <row r="19" spans="1:5" ht="15" customHeight="1" x14ac:dyDescent="0.25">
      <c r="A19" s="2" t="s">
        <v>5</v>
      </c>
      <c r="B19" s="2" t="s">
        <v>126</v>
      </c>
      <c r="C19" s="2" t="s">
        <v>127</v>
      </c>
      <c r="D19" s="3" t="s">
        <v>128</v>
      </c>
      <c r="E19" s="20" t="s">
        <v>609</v>
      </c>
    </row>
    <row r="20" spans="1:5" ht="15" customHeight="1" x14ac:dyDescent="0.25">
      <c r="A20" s="2" t="s">
        <v>5</v>
      </c>
      <c r="B20" s="2" t="s">
        <v>129</v>
      </c>
      <c r="C20" s="2" t="s">
        <v>130</v>
      </c>
      <c r="D20" s="3" t="s">
        <v>131</v>
      </c>
      <c r="E20" s="20" t="s">
        <v>609</v>
      </c>
    </row>
    <row r="21" spans="1:5" ht="15" customHeight="1" x14ac:dyDescent="0.25">
      <c r="A21" s="2" t="s">
        <v>5</v>
      </c>
      <c r="B21" s="2" t="s">
        <v>132</v>
      </c>
      <c r="C21" s="2" t="s">
        <v>133</v>
      </c>
      <c r="D21" s="3" t="s">
        <v>134</v>
      </c>
      <c r="E21" s="20" t="s">
        <v>609</v>
      </c>
    </row>
    <row r="22" spans="1:5" ht="15" customHeight="1" x14ac:dyDescent="0.25">
      <c r="A22" s="2" t="s">
        <v>5</v>
      </c>
      <c r="B22" s="2" t="s">
        <v>135</v>
      </c>
      <c r="C22" s="2" t="s">
        <v>136</v>
      </c>
      <c r="D22" s="3" t="s">
        <v>137</v>
      </c>
      <c r="E22" s="20" t="s">
        <v>609</v>
      </c>
    </row>
    <row r="23" spans="1:5" ht="15" customHeight="1" x14ac:dyDescent="0.25">
      <c r="A23" s="2" t="s">
        <v>5</v>
      </c>
      <c r="B23" s="2" t="s">
        <v>141</v>
      </c>
      <c r="C23" s="2" t="s">
        <v>142</v>
      </c>
      <c r="D23" s="3" t="s">
        <v>143</v>
      </c>
      <c r="E23" s="20" t="s">
        <v>609</v>
      </c>
    </row>
    <row r="24" spans="1:5" ht="15" customHeight="1" x14ac:dyDescent="0.25">
      <c r="A24" s="6" t="s">
        <v>267</v>
      </c>
      <c r="B24" s="6" t="s">
        <v>332</v>
      </c>
      <c r="C24" s="6" t="s">
        <v>333</v>
      </c>
      <c r="D24" s="7" t="s">
        <v>334</v>
      </c>
      <c r="E24" s="16" t="s">
        <v>335</v>
      </c>
    </row>
    <row r="25" spans="1:5" ht="15" customHeight="1" x14ac:dyDescent="0.25">
      <c r="A25" s="6" t="s">
        <v>267</v>
      </c>
      <c r="B25" s="6" t="s">
        <v>332</v>
      </c>
      <c r="C25" s="6" t="s">
        <v>333</v>
      </c>
      <c r="D25" s="7" t="s">
        <v>336</v>
      </c>
      <c r="E25" s="16" t="s">
        <v>335</v>
      </c>
    </row>
    <row r="26" spans="1:5" ht="15" customHeight="1" x14ac:dyDescent="0.25">
      <c r="A26" s="6" t="s">
        <v>267</v>
      </c>
      <c r="B26" s="6" t="s">
        <v>337</v>
      </c>
      <c r="C26" s="6" t="s">
        <v>338</v>
      </c>
      <c r="D26" s="7" t="s">
        <v>339</v>
      </c>
      <c r="E26" s="16" t="s">
        <v>335</v>
      </c>
    </row>
    <row r="27" spans="1:5" ht="15" customHeight="1" x14ac:dyDescent="0.25">
      <c r="A27" s="6" t="s">
        <v>267</v>
      </c>
      <c r="B27" s="6" t="s">
        <v>340</v>
      </c>
      <c r="C27" s="6" t="s">
        <v>341</v>
      </c>
      <c r="D27" s="7" t="s">
        <v>342</v>
      </c>
      <c r="E27" s="16" t="s">
        <v>335</v>
      </c>
    </row>
    <row r="28" spans="1:5" ht="15" customHeight="1" x14ac:dyDescent="0.25">
      <c r="A28" s="6" t="s">
        <v>267</v>
      </c>
      <c r="B28" s="6" t="s">
        <v>343</v>
      </c>
      <c r="C28" s="6" t="s">
        <v>344</v>
      </c>
      <c r="D28" s="7" t="s">
        <v>345</v>
      </c>
      <c r="E28" s="16" t="s">
        <v>335</v>
      </c>
    </row>
    <row r="29" spans="1:5" ht="15" customHeight="1" x14ac:dyDescent="0.25">
      <c r="A29" s="6" t="s">
        <v>267</v>
      </c>
      <c r="B29" s="6" t="s">
        <v>375</v>
      </c>
      <c r="C29" s="6" t="s">
        <v>376</v>
      </c>
      <c r="D29" s="7" t="s">
        <v>377</v>
      </c>
      <c r="E29" s="16" t="s">
        <v>335</v>
      </c>
    </row>
    <row r="30" spans="1:5" ht="15" customHeight="1" x14ac:dyDescent="0.25">
      <c r="A30" s="6" t="s">
        <v>267</v>
      </c>
      <c r="B30" s="6" t="s">
        <v>378</v>
      </c>
      <c r="C30" s="6" t="s">
        <v>379</v>
      </c>
      <c r="D30" s="7" t="s">
        <v>380</v>
      </c>
      <c r="E30" s="16" t="s">
        <v>335</v>
      </c>
    </row>
    <row r="31" spans="1:5" ht="15" customHeight="1" x14ac:dyDescent="0.25">
      <c r="A31" s="6" t="s">
        <v>267</v>
      </c>
      <c r="B31" s="6" t="s">
        <v>381</v>
      </c>
      <c r="C31" s="6" t="s">
        <v>382</v>
      </c>
      <c r="D31" s="7" t="s">
        <v>383</v>
      </c>
      <c r="E31" s="16" t="s">
        <v>335</v>
      </c>
    </row>
    <row r="32" spans="1:5" ht="15" customHeight="1" x14ac:dyDescent="0.25">
      <c r="A32" s="4" t="s">
        <v>144</v>
      </c>
      <c r="B32" s="4" t="s">
        <v>165</v>
      </c>
      <c r="C32" s="4" t="s">
        <v>166</v>
      </c>
      <c r="D32" s="5" t="s">
        <v>167</v>
      </c>
      <c r="E32" s="15" t="s">
        <v>168</v>
      </c>
    </row>
    <row r="33" spans="1:5" ht="15" customHeight="1" x14ac:dyDescent="0.25">
      <c r="A33" s="4" t="s">
        <v>144</v>
      </c>
      <c r="B33" s="4" t="s">
        <v>165</v>
      </c>
      <c r="C33" s="4" t="s">
        <v>169</v>
      </c>
      <c r="D33" s="5" t="s">
        <v>170</v>
      </c>
      <c r="E33" s="15" t="s">
        <v>168</v>
      </c>
    </row>
    <row r="34" spans="1:5" ht="15" customHeight="1" x14ac:dyDescent="0.25">
      <c r="A34" s="4" t="s">
        <v>144</v>
      </c>
      <c r="B34" s="4" t="s">
        <v>165</v>
      </c>
      <c r="C34" s="4" t="s">
        <v>171</v>
      </c>
      <c r="D34" s="5" t="s">
        <v>172</v>
      </c>
      <c r="E34" s="15" t="s">
        <v>168</v>
      </c>
    </row>
    <row r="35" spans="1:5" ht="15" customHeight="1" x14ac:dyDescent="0.25">
      <c r="A35" s="4" t="s">
        <v>144</v>
      </c>
      <c r="B35" s="4" t="s">
        <v>165</v>
      </c>
      <c r="C35" s="4" t="s">
        <v>173</v>
      </c>
      <c r="D35" s="5" t="s">
        <v>174</v>
      </c>
      <c r="E35" s="15" t="s">
        <v>168</v>
      </c>
    </row>
    <row r="36" spans="1:5" ht="15" customHeight="1" x14ac:dyDescent="0.25">
      <c r="A36" s="4" t="s">
        <v>144</v>
      </c>
      <c r="B36" s="4" t="s">
        <v>175</v>
      </c>
      <c r="C36" s="4" t="s">
        <v>178</v>
      </c>
      <c r="D36" s="5" t="s">
        <v>179</v>
      </c>
      <c r="E36" s="15" t="s">
        <v>168</v>
      </c>
    </row>
    <row r="37" spans="1:5" ht="15" customHeight="1" x14ac:dyDescent="0.25">
      <c r="A37" s="4" t="s">
        <v>144</v>
      </c>
      <c r="B37" s="4" t="s">
        <v>180</v>
      </c>
      <c r="C37" s="4" t="s">
        <v>181</v>
      </c>
      <c r="D37" s="5" t="s">
        <v>182</v>
      </c>
      <c r="E37" s="15" t="s">
        <v>168</v>
      </c>
    </row>
    <row r="38" spans="1:5" ht="15" customHeight="1" x14ac:dyDescent="0.25">
      <c r="A38" s="4" t="s">
        <v>144</v>
      </c>
      <c r="B38" s="4" t="s">
        <v>180</v>
      </c>
      <c r="C38" s="4" t="s">
        <v>183</v>
      </c>
      <c r="D38" s="5" t="s">
        <v>184</v>
      </c>
      <c r="E38" s="15" t="s">
        <v>168</v>
      </c>
    </row>
    <row r="39" spans="1:5" ht="15" customHeight="1" x14ac:dyDescent="0.25">
      <c r="A39" s="4" t="s">
        <v>144</v>
      </c>
      <c r="B39" s="4" t="s">
        <v>180</v>
      </c>
      <c r="C39" s="4" t="s">
        <v>185</v>
      </c>
      <c r="D39" s="5" t="s">
        <v>186</v>
      </c>
      <c r="E39" s="15" t="s">
        <v>168</v>
      </c>
    </row>
    <row r="40" spans="1:5" ht="15" customHeight="1" x14ac:dyDescent="0.25">
      <c r="A40" s="4" t="s">
        <v>144</v>
      </c>
      <c r="B40" s="4" t="s">
        <v>180</v>
      </c>
      <c r="C40" s="4" t="s">
        <v>187</v>
      </c>
      <c r="D40" s="5" t="s">
        <v>188</v>
      </c>
      <c r="E40" s="15" t="s">
        <v>168</v>
      </c>
    </row>
    <row r="41" spans="1:5" ht="15" customHeight="1" x14ac:dyDescent="0.25">
      <c r="A41" s="4" t="s">
        <v>144</v>
      </c>
      <c r="B41" s="4" t="s">
        <v>180</v>
      </c>
      <c r="C41" s="4" t="s">
        <v>189</v>
      </c>
      <c r="D41" s="5" t="s">
        <v>190</v>
      </c>
      <c r="E41" s="15" t="s">
        <v>168</v>
      </c>
    </row>
    <row r="42" spans="1:5" ht="15" customHeight="1" x14ac:dyDescent="0.25">
      <c r="A42" s="4" t="s">
        <v>144</v>
      </c>
      <c r="B42" s="4" t="s">
        <v>180</v>
      </c>
      <c r="C42" s="4" t="s">
        <v>191</v>
      </c>
      <c r="D42" s="5" t="s">
        <v>192</v>
      </c>
      <c r="E42" s="15" t="s">
        <v>168</v>
      </c>
    </row>
    <row r="43" spans="1:5" ht="15" customHeight="1" x14ac:dyDescent="0.25">
      <c r="A43" s="4" t="s">
        <v>144</v>
      </c>
      <c r="B43" s="4" t="s">
        <v>193</v>
      </c>
      <c r="C43" s="4" t="s">
        <v>194</v>
      </c>
      <c r="D43" s="5" t="s">
        <v>195</v>
      </c>
      <c r="E43" s="15" t="s">
        <v>168</v>
      </c>
    </row>
    <row r="44" spans="1:5" ht="15" customHeight="1" x14ac:dyDescent="0.25">
      <c r="A44" s="4" t="s">
        <v>144</v>
      </c>
      <c r="B44" s="4" t="s">
        <v>193</v>
      </c>
      <c r="C44" s="4" t="s">
        <v>196</v>
      </c>
      <c r="D44" s="5" t="s">
        <v>197</v>
      </c>
      <c r="E44" s="15" t="s">
        <v>168</v>
      </c>
    </row>
    <row r="45" spans="1:5" ht="15" customHeight="1" x14ac:dyDescent="0.25">
      <c r="A45" s="4" t="s">
        <v>144</v>
      </c>
      <c r="B45" s="4" t="s">
        <v>198</v>
      </c>
      <c r="C45" s="4" t="s">
        <v>199</v>
      </c>
      <c r="D45" s="5" t="s">
        <v>200</v>
      </c>
      <c r="E45" s="15" t="s">
        <v>168</v>
      </c>
    </row>
    <row r="46" spans="1:5" ht="15" customHeight="1" x14ac:dyDescent="0.25">
      <c r="A46" s="4" t="s">
        <v>144</v>
      </c>
      <c r="B46" s="4" t="s">
        <v>201</v>
      </c>
      <c r="C46" s="4" t="s">
        <v>202</v>
      </c>
      <c r="D46" s="5" t="s">
        <v>203</v>
      </c>
      <c r="E46" s="15" t="s">
        <v>168</v>
      </c>
    </row>
    <row r="47" spans="1:5" ht="15" customHeight="1" x14ac:dyDescent="0.25">
      <c r="A47" s="4" t="s">
        <v>144</v>
      </c>
      <c r="B47" s="4" t="s">
        <v>201</v>
      </c>
      <c r="C47" s="4" t="s">
        <v>204</v>
      </c>
      <c r="D47" s="5" t="s">
        <v>205</v>
      </c>
      <c r="E47" s="15" t="s">
        <v>168</v>
      </c>
    </row>
    <row r="48" spans="1:5" ht="15" customHeight="1" x14ac:dyDescent="0.25">
      <c r="A48" s="4" t="s">
        <v>144</v>
      </c>
      <c r="B48" s="4" t="s">
        <v>234</v>
      </c>
      <c r="C48" s="4" t="s">
        <v>237</v>
      </c>
      <c r="D48" s="5" t="s">
        <v>238</v>
      </c>
      <c r="E48" s="15" t="s">
        <v>168</v>
      </c>
    </row>
    <row r="49" spans="1:5" ht="15" customHeight="1" x14ac:dyDescent="0.25">
      <c r="A49" s="4" t="s">
        <v>144</v>
      </c>
      <c r="B49" s="4" t="s">
        <v>239</v>
      </c>
      <c r="C49" s="4" t="s">
        <v>240</v>
      </c>
      <c r="D49" s="5" t="s">
        <v>241</v>
      </c>
      <c r="E49" s="15" t="s">
        <v>168</v>
      </c>
    </row>
    <row r="50" spans="1:5" ht="15" customHeight="1" x14ac:dyDescent="0.25">
      <c r="A50" s="4" t="s">
        <v>144</v>
      </c>
      <c r="B50" s="4" t="s">
        <v>242</v>
      </c>
      <c r="C50" s="4" t="s">
        <v>243</v>
      </c>
      <c r="D50" s="5" t="s">
        <v>244</v>
      </c>
      <c r="E50" s="15" t="s">
        <v>168</v>
      </c>
    </row>
    <row r="51" spans="1:5" ht="15" customHeight="1" x14ac:dyDescent="0.25">
      <c r="A51" s="4" t="s">
        <v>144</v>
      </c>
      <c r="B51" s="4" t="s">
        <v>245</v>
      </c>
      <c r="C51" s="4" t="s">
        <v>246</v>
      </c>
      <c r="D51" s="5" t="s">
        <v>247</v>
      </c>
      <c r="E51" s="15" t="s">
        <v>168</v>
      </c>
    </row>
    <row r="52" spans="1:5" ht="15" customHeight="1" x14ac:dyDescent="0.25">
      <c r="A52" s="4" t="s">
        <v>144</v>
      </c>
      <c r="B52" s="4" t="s">
        <v>245</v>
      </c>
      <c r="C52" s="4" t="s">
        <v>246</v>
      </c>
      <c r="D52" s="5" t="s">
        <v>248</v>
      </c>
      <c r="E52" s="15" t="s">
        <v>168</v>
      </c>
    </row>
    <row r="53" spans="1:5" ht="15" customHeight="1" x14ac:dyDescent="0.25">
      <c r="A53" s="4" t="s">
        <v>144</v>
      </c>
      <c r="B53" s="4" t="s">
        <v>245</v>
      </c>
      <c r="C53" s="4" t="s">
        <v>249</v>
      </c>
      <c r="D53" s="5" t="s">
        <v>250</v>
      </c>
      <c r="E53" s="15" t="s">
        <v>168</v>
      </c>
    </row>
    <row r="54" spans="1:5" ht="15" customHeight="1" x14ac:dyDescent="0.25">
      <c r="A54" s="4" t="s">
        <v>144</v>
      </c>
      <c r="B54" s="4" t="s">
        <v>245</v>
      </c>
      <c r="C54" s="4" t="s">
        <v>251</v>
      </c>
      <c r="D54" s="5" t="s">
        <v>252</v>
      </c>
      <c r="E54" s="15" t="s">
        <v>168</v>
      </c>
    </row>
    <row r="55" spans="1:5" ht="15" customHeight="1" x14ac:dyDescent="0.25">
      <c r="A55" s="4" t="s">
        <v>144</v>
      </c>
      <c r="B55" s="4" t="s">
        <v>245</v>
      </c>
      <c r="C55" s="4" t="s">
        <v>253</v>
      </c>
      <c r="D55" s="5" t="s">
        <v>254</v>
      </c>
      <c r="E55" s="15" t="s">
        <v>168</v>
      </c>
    </row>
    <row r="56" spans="1:5" ht="15" customHeight="1" x14ac:dyDescent="0.25">
      <c r="A56" s="4" t="s">
        <v>144</v>
      </c>
      <c r="B56" s="4" t="s">
        <v>255</v>
      </c>
      <c r="C56" s="4" t="s">
        <v>256</v>
      </c>
      <c r="D56" s="5" t="s">
        <v>257</v>
      </c>
      <c r="E56" s="15" t="s">
        <v>168</v>
      </c>
    </row>
    <row r="57" spans="1:5" ht="15" customHeight="1" x14ac:dyDescent="0.25">
      <c r="A57" s="4" t="s">
        <v>144</v>
      </c>
      <c r="B57" s="4" t="s">
        <v>258</v>
      </c>
      <c r="C57" s="4" t="s">
        <v>259</v>
      </c>
      <c r="D57" s="5" t="s">
        <v>260</v>
      </c>
      <c r="E57" s="15" t="s">
        <v>168</v>
      </c>
    </row>
    <row r="58" spans="1:5" ht="15" customHeight="1" x14ac:dyDescent="0.25">
      <c r="A58" s="4" t="s">
        <v>144</v>
      </c>
      <c r="B58" s="4" t="s">
        <v>261</v>
      </c>
      <c r="C58" s="4" t="s">
        <v>262</v>
      </c>
      <c r="D58" s="5" t="s">
        <v>263</v>
      </c>
      <c r="E58" s="15" t="s">
        <v>168</v>
      </c>
    </row>
    <row r="59" spans="1:5" ht="15" customHeight="1" x14ac:dyDescent="0.25">
      <c r="A59" s="6" t="s">
        <v>267</v>
      </c>
      <c r="B59" s="6" t="s">
        <v>268</v>
      </c>
      <c r="C59" s="6" t="s">
        <v>269</v>
      </c>
      <c r="D59" s="7" t="s">
        <v>270</v>
      </c>
      <c r="E59" s="19" t="s">
        <v>619</v>
      </c>
    </row>
    <row r="60" spans="1:5" ht="15" customHeight="1" x14ac:dyDescent="0.25">
      <c r="A60" s="6" t="s">
        <v>267</v>
      </c>
      <c r="B60" s="6" t="s">
        <v>268</v>
      </c>
      <c r="C60" s="6" t="s">
        <v>271</v>
      </c>
      <c r="D60" s="7" t="s">
        <v>272</v>
      </c>
      <c r="E60" s="19" t="s">
        <v>619</v>
      </c>
    </row>
    <row r="61" spans="1:5" ht="15" customHeight="1" x14ac:dyDescent="0.25">
      <c r="A61" s="6" t="s">
        <v>267</v>
      </c>
      <c r="B61" s="6" t="s">
        <v>268</v>
      </c>
      <c r="C61" s="6" t="s">
        <v>271</v>
      </c>
      <c r="D61" s="7" t="s">
        <v>273</v>
      </c>
      <c r="E61" s="19" t="s">
        <v>619</v>
      </c>
    </row>
    <row r="62" spans="1:5" ht="15" customHeight="1" x14ac:dyDescent="0.25">
      <c r="A62" s="6" t="s">
        <v>267</v>
      </c>
      <c r="B62" s="6" t="s">
        <v>268</v>
      </c>
      <c r="C62" s="6" t="s">
        <v>274</v>
      </c>
      <c r="D62" s="7" t="s">
        <v>275</v>
      </c>
      <c r="E62" s="19" t="s">
        <v>619</v>
      </c>
    </row>
    <row r="63" spans="1:5" ht="15" customHeight="1" x14ac:dyDescent="0.25">
      <c r="A63" s="6" t="s">
        <v>267</v>
      </c>
      <c r="B63" s="6" t="s">
        <v>276</v>
      </c>
      <c r="C63" s="6" t="s">
        <v>277</v>
      </c>
      <c r="D63" s="7" t="s">
        <v>278</v>
      </c>
      <c r="E63" s="19" t="s">
        <v>619</v>
      </c>
    </row>
    <row r="64" spans="1:5" ht="15" customHeight="1" x14ac:dyDescent="0.25">
      <c r="A64" s="6" t="s">
        <v>267</v>
      </c>
      <c r="B64" s="6" t="s">
        <v>276</v>
      </c>
      <c r="C64" s="6" t="s">
        <v>279</v>
      </c>
      <c r="D64" s="7" t="s">
        <v>280</v>
      </c>
      <c r="E64" s="19" t="s">
        <v>619</v>
      </c>
    </row>
    <row r="65" spans="1:5" ht="15" customHeight="1" x14ac:dyDescent="0.25">
      <c r="A65" s="6" t="s">
        <v>267</v>
      </c>
      <c r="B65" s="6" t="s">
        <v>276</v>
      </c>
      <c r="C65" s="6" t="s">
        <v>281</v>
      </c>
      <c r="D65" s="7" t="s">
        <v>282</v>
      </c>
      <c r="E65" s="19" t="s">
        <v>619</v>
      </c>
    </row>
    <row r="66" spans="1:5" ht="15" customHeight="1" x14ac:dyDescent="0.25">
      <c r="A66" s="6" t="s">
        <v>267</v>
      </c>
      <c r="B66" s="6" t="s">
        <v>283</v>
      </c>
      <c r="C66" s="6" t="s">
        <v>284</v>
      </c>
      <c r="D66" s="7" t="s">
        <v>285</v>
      </c>
      <c r="E66" s="19" t="s">
        <v>619</v>
      </c>
    </row>
    <row r="67" spans="1:5" ht="15" customHeight="1" x14ac:dyDescent="0.25">
      <c r="A67" s="6" t="s">
        <v>267</v>
      </c>
      <c r="B67" s="6" t="s">
        <v>283</v>
      </c>
      <c r="C67" s="6" t="s">
        <v>286</v>
      </c>
      <c r="D67" s="7" t="s">
        <v>287</v>
      </c>
      <c r="E67" s="19" t="s">
        <v>619</v>
      </c>
    </row>
    <row r="68" spans="1:5" ht="15" customHeight="1" x14ac:dyDescent="0.25">
      <c r="A68" s="6" t="s">
        <v>267</v>
      </c>
      <c r="B68" s="6" t="s">
        <v>283</v>
      </c>
      <c r="C68" s="6" t="s">
        <v>288</v>
      </c>
      <c r="D68" s="7" t="s">
        <v>289</v>
      </c>
      <c r="E68" s="19" t="s">
        <v>619</v>
      </c>
    </row>
    <row r="69" spans="1:5" ht="15" customHeight="1" x14ac:dyDescent="0.25">
      <c r="A69" s="6" t="s">
        <v>267</v>
      </c>
      <c r="B69" s="6" t="s">
        <v>290</v>
      </c>
      <c r="C69" s="6" t="s">
        <v>291</v>
      </c>
      <c r="D69" s="7" t="s">
        <v>292</v>
      </c>
      <c r="E69" s="19" t="s">
        <v>619</v>
      </c>
    </row>
    <row r="70" spans="1:5" ht="15" customHeight="1" x14ac:dyDescent="0.25">
      <c r="A70" s="6" t="s">
        <v>267</v>
      </c>
      <c r="B70" s="6" t="s">
        <v>293</v>
      </c>
      <c r="C70" s="6" t="s">
        <v>294</v>
      </c>
      <c r="D70" s="7" t="s">
        <v>295</v>
      </c>
      <c r="E70" s="19" t="s">
        <v>619</v>
      </c>
    </row>
    <row r="71" spans="1:5" ht="15" customHeight="1" x14ac:dyDescent="0.25">
      <c r="A71" s="6" t="s">
        <v>267</v>
      </c>
      <c r="B71" s="6" t="s">
        <v>296</v>
      </c>
      <c r="C71" s="6" t="s">
        <v>297</v>
      </c>
      <c r="D71" s="7" t="s">
        <v>298</v>
      </c>
      <c r="E71" s="19" t="s">
        <v>619</v>
      </c>
    </row>
    <row r="72" spans="1:5" ht="15" customHeight="1" x14ac:dyDescent="0.25">
      <c r="A72" s="6" t="s">
        <v>267</v>
      </c>
      <c r="B72" s="6" t="s">
        <v>299</v>
      </c>
      <c r="C72" s="6" t="s">
        <v>300</v>
      </c>
      <c r="D72" s="7" t="s">
        <v>301</v>
      </c>
      <c r="E72" s="19" t="s">
        <v>619</v>
      </c>
    </row>
    <row r="73" spans="1:5" ht="15" customHeight="1" x14ac:dyDescent="0.25">
      <c r="A73" s="6" t="s">
        <v>267</v>
      </c>
      <c r="B73" s="6" t="s">
        <v>302</v>
      </c>
      <c r="C73" s="6" t="s">
        <v>303</v>
      </c>
      <c r="D73" s="7" t="s">
        <v>304</v>
      </c>
      <c r="E73" s="19" t="s">
        <v>619</v>
      </c>
    </row>
    <row r="74" spans="1:5" ht="15" customHeight="1" x14ac:dyDescent="0.25">
      <c r="A74" s="6" t="s">
        <v>267</v>
      </c>
      <c r="B74" s="6" t="s">
        <v>305</v>
      </c>
      <c r="C74" s="6" t="s">
        <v>306</v>
      </c>
      <c r="D74" s="7" t="s">
        <v>307</v>
      </c>
      <c r="E74" s="19" t="s">
        <v>619</v>
      </c>
    </row>
    <row r="75" spans="1:5" ht="15" customHeight="1" x14ac:dyDescent="0.25">
      <c r="A75" s="6" t="s">
        <v>267</v>
      </c>
      <c r="B75" s="6" t="s">
        <v>305</v>
      </c>
      <c r="C75" s="6" t="s">
        <v>308</v>
      </c>
      <c r="D75" s="7" t="s">
        <v>309</v>
      </c>
      <c r="E75" s="19" t="s">
        <v>619</v>
      </c>
    </row>
    <row r="76" spans="1:5" ht="15" customHeight="1" x14ac:dyDescent="0.25">
      <c r="A76" s="6" t="s">
        <v>267</v>
      </c>
      <c r="B76" s="6" t="s">
        <v>310</v>
      </c>
      <c r="C76" s="6" t="s">
        <v>311</v>
      </c>
      <c r="D76" s="7" t="s">
        <v>312</v>
      </c>
      <c r="E76" s="19" t="s">
        <v>619</v>
      </c>
    </row>
    <row r="77" spans="1:5" ht="15" customHeight="1" x14ac:dyDescent="0.25">
      <c r="A77" s="6" t="s">
        <v>267</v>
      </c>
      <c r="B77" s="6" t="s">
        <v>310</v>
      </c>
      <c r="C77" s="6" t="s">
        <v>313</v>
      </c>
      <c r="D77" s="7" t="s">
        <v>314</v>
      </c>
      <c r="E77" s="19" t="s">
        <v>619</v>
      </c>
    </row>
    <row r="78" spans="1:5" ht="15" customHeight="1" x14ac:dyDescent="0.25">
      <c r="A78" s="6" t="s">
        <v>267</v>
      </c>
      <c r="B78" s="6" t="s">
        <v>310</v>
      </c>
      <c r="C78" s="6" t="s">
        <v>313</v>
      </c>
      <c r="D78" s="7" t="s">
        <v>315</v>
      </c>
      <c r="E78" s="19" t="s">
        <v>619</v>
      </c>
    </row>
    <row r="79" spans="1:5" ht="15" customHeight="1" x14ac:dyDescent="0.25">
      <c r="A79" s="6" t="s">
        <v>267</v>
      </c>
      <c r="B79" s="6" t="s">
        <v>310</v>
      </c>
      <c r="C79" s="6" t="s">
        <v>316</v>
      </c>
      <c r="D79" s="7" t="s">
        <v>317</v>
      </c>
      <c r="E79" s="19" t="s">
        <v>619</v>
      </c>
    </row>
    <row r="80" spans="1:5" ht="15" customHeight="1" x14ac:dyDescent="0.25">
      <c r="A80" s="6" t="s">
        <v>267</v>
      </c>
      <c r="B80" s="6" t="s">
        <v>318</v>
      </c>
      <c r="C80" s="6" t="s">
        <v>319</v>
      </c>
      <c r="D80" s="7" t="s">
        <v>320</v>
      </c>
      <c r="E80" s="19" t="s">
        <v>619</v>
      </c>
    </row>
    <row r="81" spans="1:5" ht="15" customHeight="1" x14ac:dyDescent="0.25">
      <c r="A81" s="6" t="s">
        <v>267</v>
      </c>
      <c r="B81" s="6" t="s">
        <v>318</v>
      </c>
      <c r="C81" s="6" t="s">
        <v>321</v>
      </c>
      <c r="D81" s="7" t="s">
        <v>322</v>
      </c>
      <c r="E81" s="19" t="s">
        <v>619</v>
      </c>
    </row>
    <row r="82" spans="1:5" ht="15" customHeight="1" x14ac:dyDescent="0.25">
      <c r="A82" s="6" t="s">
        <v>267</v>
      </c>
      <c r="B82" s="6" t="s">
        <v>323</v>
      </c>
      <c r="C82" s="6" t="s">
        <v>324</v>
      </c>
      <c r="D82" s="7" t="s">
        <v>325</v>
      </c>
      <c r="E82" s="19" t="s">
        <v>619</v>
      </c>
    </row>
    <row r="83" spans="1:5" ht="15" customHeight="1" x14ac:dyDescent="0.25">
      <c r="A83" s="6" t="s">
        <v>267</v>
      </c>
      <c r="B83" s="6" t="s">
        <v>326</v>
      </c>
      <c r="C83" s="6" t="s">
        <v>327</v>
      </c>
      <c r="D83" s="7" t="s">
        <v>328</v>
      </c>
      <c r="E83" s="19" t="s">
        <v>619</v>
      </c>
    </row>
    <row r="84" spans="1:5" ht="15" customHeight="1" x14ac:dyDescent="0.25">
      <c r="A84" s="6" t="s">
        <v>267</v>
      </c>
      <c r="B84" s="6" t="s">
        <v>329</v>
      </c>
      <c r="C84" s="6" t="s">
        <v>330</v>
      </c>
      <c r="D84" s="7" t="s">
        <v>331</v>
      </c>
      <c r="E84" s="19" t="s">
        <v>619</v>
      </c>
    </row>
    <row r="85" spans="1:5" ht="15" customHeight="1" x14ac:dyDescent="0.25">
      <c r="A85" s="6" t="s">
        <v>384</v>
      </c>
      <c r="B85" s="6" t="s">
        <v>514</v>
      </c>
      <c r="C85" s="6" t="s">
        <v>515</v>
      </c>
      <c r="D85" s="7" t="s">
        <v>516</v>
      </c>
      <c r="E85" s="19" t="s">
        <v>619</v>
      </c>
    </row>
    <row r="86" spans="1:5" ht="15" customHeight="1" x14ac:dyDescent="0.25">
      <c r="A86" s="6" t="s">
        <v>384</v>
      </c>
      <c r="B86" s="6" t="s">
        <v>517</v>
      </c>
      <c r="C86" s="6" t="s">
        <v>518</v>
      </c>
      <c r="D86" s="7" t="s">
        <v>519</v>
      </c>
      <c r="E86" s="19" t="s">
        <v>619</v>
      </c>
    </row>
    <row r="87" spans="1:5" ht="15" customHeight="1" x14ac:dyDescent="0.25">
      <c r="A87" s="6" t="s">
        <v>384</v>
      </c>
      <c r="B87" s="6" t="s">
        <v>520</v>
      </c>
      <c r="C87" s="6" t="s">
        <v>521</v>
      </c>
      <c r="D87" s="7" t="s">
        <v>522</v>
      </c>
      <c r="E87" s="19" t="s">
        <v>619</v>
      </c>
    </row>
    <row r="88" spans="1:5" ht="15" customHeight="1" x14ac:dyDescent="0.25">
      <c r="A88" s="6" t="s">
        <v>384</v>
      </c>
      <c r="B88" s="6" t="s">
        <v>520</v>
      </c>
      <c r="C88" s="6" t="s">
        <v>523</v>
      </c>
      <c r="D88" s="7" t="s">
        <v>524</v>
      </c>
      <c r="E88" s="19" t="s">
        <v>619</v>
      </c>
    </row>
    <row r="89" spans="1:5" ht="15" customHeight="1" x14ac:dyDescent="0.25">
      <c r="A89" s="6" t="s">
        <v>384</v>
      </c>
      <c r="B89" s="6" t="s">
        <v>520</v>
      </c>
      <c r="C89" s="6" t="s">
        <v>525</v>
      </c>
      <c r="D89" s="7" t="s">
        <v>526</v>
      </c>
      <c r="E89" s="19" t="s">
        <v>619</v>
      </c>
    </row>
    <row r="90" spans="1:5" ht="15" customHeight="1" x14ac:dyDescent="0.25">
      <c r="A90" s="6" t="s">
        <v>384</v>
      </c>
      <c r="B90" s="6" t="s">
        <v>520</v>
      </c>
      <c r="C90" s="6" t="s">
        <v>527</v>
      </c>
      <c r="D90" s="7" t="s">
        <v>528</v>
      </c>
      <c r="E90" s="19" t="s">
        <v>619</v>
      </c>
    </row>
    <row r="91" spans="1:5" ht="15" customHeight="1" x14ac:dyDescent="0.25">
      <c r="A91" s="6" t="s">
        <v>384</v>
      </c>
      <c r="B91" s="6" t="s">
        <v>520</v>
      </c>
      <c r="C91" s="6" t="s">
        <v>529</v>
      </c>
      <c r="D91" s="7" t="s">
        <v>530</v>
      </c>
      <c r="E91" s="19" t="s">
        <v>619</v>
      </c>
    </row>
    <row r="92" spans="1:5" ht="15" customHeight="1" x14ac:dyDescent="0.25">
      <c r="A92" s="6" t="s">
        <v>384</v>
      </c>
      <c r="B92" s="6" t="s">
        <v>520</v>
      </c>
      <c r="C92" s="6" t="s">
        <v>531</v>
      </c>
      <c r="D92" s="7" t="s">
        <v>532</v>
      </c>
      <c r="E92" s="19" t="s">
        <v>619</v>
      </c>
    </row>
    <row r="93" spans="1:5" ht="15" customHeight="1" x14ac:dyDescent="0.25">
      <c r="A93" s="6" t="s">
        <v>384</v>
      </c>
      <c r="B93" s="6" t="s">
        <v>520</v>
      </c>
      <c r="C93" s="6" t="s">
        <v>533</v>
      </c>
      <c r="D93" s="7" t="s">
        <v>534</v>
      </c>
      <c r="E93" s="19" t="s">
        <v>619</v>
      </c>
    </row>
    <row r="94" spans="1:5" ht="15" customHeight="1" x14ac:dyDescent="0.25">
      <c r="A94" s="6" t="s">
        <v>384</v>
      </c>
      <c r="B94" s="6" t="s">
        <v>520</v>
      </c>
      <c r="C94" s="6" t="s">
        <v>535</v>
      </c>
      <c r="D94" s="7" t="s">
        <v>536</v>
      </c>
      <c r="E94" s="19" t="s">
        <v>619</v>
      </c>
    </row>
    <row r="95" spans="1:5" ht="15" customHeight="1" x14ac:dyDescent="0.25">
      <c r="A95" s="6" t="s">
        <v>384</v>
      </c>
      <c r="B95" s="6" t="s">
        <v>537</v>
      </c>
      <c r="C95" s="6" t="s">
        <v>538</v>
      </c>
      <c r="D95" s="7" t="s">
        <v>539</v>
      </c>
      <c r="E95" s="19" t="s">
        <v>619</v>
      </c>
    </row>
    <row r="96" spans="1:5" ht="15" customHeight="1" x14ac:dyDescent="0.25">
      <c r="A96" s="6" t="s">
        <v>384</v>
      </c>
      <c r="B96" s="6" t="s">
        <v>537</v>
      </c>
      <c r="C96" s="6" t="s">
        <v>540</v>
      </c>
      <c r="D96" s="7" t="s">
        <v>541</v>
      </c>
      <c r="E96" s="19" t="s">
        <v>619</v>
      </c>
    </row>
    <row r="97" spans="1:5" ht="15" customHeight="1" x14ac:dyDescent="0.25">
      <c r="A97" s="10" t="s">
        <v>548</v>
      </c>
      <c r="B97" s="10" t="s">
        <v>564</v>
      </c>
      <c r="C97" s="10" t="s">
        <v>565</v>
      </c>
      <c r="D97" s="11" t="s">
        <v>566</v>
      </c>
      <c r="E97" s="21" t="s">
        <v>564</v>
      </c>
    </row>
    <row r="98" spans="1:5" ht="15" customHeight="1" x14ac:dyDescent="0.25">
      <c r="A98" s="10" t="s">
        <v>548</v>
      </c>
      <c r="B98" s="10" t="s">
        <v>564</v>
      </c>
      <c r="C98" s="10" t="s">
        <v>567</v>
      </c>
      <c r="D98" s="11" t="s">
        <v>568</v>
      </c>
      <c r="E98" s="21" t="s">
        <v>564</v>
      </c>
    </row>
    <row r="99" spans="1:5" ht="15" customHeight="1" x14ac:dyDescent="0.25">
      <c r="A99" s="10" t="s">
        <v>548</v>
      </c>
      <c r="B99" s="10" t="s">
        <v>564</v>
      </c>
      <c r="C99" s="10" t="s">
        <v>570</v>
      </c>
      <c r="D99" s="11" t="s">
        <v>569</v>
      </c>
      <c r="E99" s="21" t="s">
        <v>564</v>
      </c>
    </row>
    <row r="100" spans="1:5" ht="15" customHeight="1" x14ac:dyDescent="0.25">
      <c r="A100" s="10" t="s">
        <v>548</v>
      </c>
      <c r="B100" s="10" t="s">
        <v>564</v>
      </c>
      <c r="C100" s="10" t="s">
        <v>620</v>
      </c>
      <c r="D100" s="11" t="s">
        <v>621</v>
      </c>
      <c r="E100" s="21" t="s">
        <v>564</v>
      </c>
    </row>
    <row r="101" spans="1:5" ht="15" customHeight="1" x14ac:dyDescent="0.25">
      <c r="A101" s="10" t="s">
        <v>548</v>
      </c>
      <c r="B101" s="10" t="s">
        <v>564</v>
      </c>
      <c r="C101" s="10" t="s">
        <v>571</v>
      </c>
      <c r="D101" s="11" t="s">
        <v>572</v>
      </c>
      <c r="E101" s="21" t="s">
        <v>564</v>
      </c>
    </row>
    <row r="102" spans="1:5" ht="15" customHeight="1" x14ac:dyDescent="0.25">
      <c r="A102" s="10" t="s">
        <v>548</v>
      </c>
      <c r="B102" s="10" t="s">
        <v>564</v>
      </c>
      <c r="C102" s="10" t="s">
        <v>573</v>
      </c>
      <c r="D102" s="11" t="s">
        <v>574</v>
      </c>
      <c r="E102" s="21" t="s">
        <v>564</v>
      </c>
    </row>
    <row r="103" spans="1:5" ht="15" customHeight="1" x14ac:dyDescent="0.25">
      <c r="A103" s="2" t="s">
        <v>5</v>
      </c>
      <c r="B103" s="2" t="s">
        <v>6</v>
      </c>
      <c r="C103" s="2" t="s">
        <v>12</v>
      </c>
      <c r="D103" s="3" t="s">
        <v>13</v>
      </c>
      <c r="E103" s="14" t="s">
        <v>14</v>
      </c>
    </row>
    <row r="104" spans="1:5" ht="15" customHeight="1" x14ac:dyDescent="0.25">
      <c r="A104" s="2" t="s">
        <v>5</v>
      </c>
      <c r="B104" s="2" t="s">
        <v>6</v>
      </c>
      <c r="C104" s="2" t="s">
        <v>12</v>
      </c>
      <c r="D104" s="3" t="s">
        <v>15</v>
      </c>
      <c r="E104" s="14" t="s">
        <v>14</v>
      </c>
    </row>
    <row r="105" spans="1:5" ht="15" customHeight="1" x14ac:dyDescent="0.25">
      <c r="A105" s="2" t="s">
        <v>5</v>
      </c>
      <c r="B105" s="2" t="s">
        <v>6</v>
      </c>
      <c r="C105" s="2" t="s">
        <v>16</v>
      </c>
      <c r="D105" s="3" t="s">
        <v>17</v>
      </c>
      <c r="E105" s="14" t="s">
        <v>14</v>
      </c>
    </row>
    <row r="106" spans="1:5" ht="15" customHeight="1" x14ac:dyDescent="0.25">
      <c r="A106" s="2" t="s">
        <v>5</v>
      </c>
      <c r="B106" s="2" t="s">
        <v>6</v>
      </c>
      <c r="C106" s="2" t="s">
        <v>25</v>
      </c>
      <c r="D106" s="3" t="s">
        <v>26</v>
      </c>
      <c r="E106" s="14" t="s">
        <v>14</v>
      </c>
    </row>
    <row r="107" spans="1:5" ht="15" customHeight="1" x14ac:dyDescent="0.25">
      <c r="A107" s="2" t="s">
        <v>5</v>
      </c>
      <c r="B107" s="2" t="s">
        <v>6</v>
      </c>
      <c r="C107" s="2" t="s">
        <v>27</v>
      </c>
      <c r="D107" s="3" t="s">
        <v>28</v>
      </c>
      <c r="E107" s="14" t="s">
        <v>14</v>
      </c>
    </row>
    <row r="108" spans="1:5" ht="15" customHeight="1" x14ac:dyDescent="0.25">
      <c r="A108" s="2" t="s">
        <v>5</v>
      </c>
      <c r="B108" s="2" t="s">
        <v>6</v>
      </c>
      <c r="C108" s="2" t="s">
        <v>27</v>
      </c>
      <c r="D108" s="3" t="s">
        <v>29</v>
      </c>
      <c r="E108" s="14" t="s">
        <v>14</v>
      </c>
    </row>
    <row r="109" spans="1:5" ht="15" customHeight="1" x14ac:dyDescent="0.25">
      <c r="A109" s="2" t="s">
        <v>5</v>
      </c>
      <c r="B109" s="2" t="s">
        <v>6</v>
      </c>
      <c r="C109" s="2" t="s">
        <v>30</v>
      </c>
      <c r="D109" s="3" t="s">
        <v>31</v>
      </c>
      <c r="E109" s="14" t="s">
        <v>14</v>
      </c>
    </row>
    <row r="110" spans="1:5" ht="15" customHeight="1" x14ac:dyDescent="0.25">
      <c r="A110" s="2" t="s">
        <v>5</v>
      </c>
      <c r="B110" s="2" t="s">
        <v>6</v>
      </c>
      <c r="C110" s="2" t="s">
        <v>32</v>
      </c>
      <c r="D110" s="3" t="s">
        <v>33</v>
      </c>
      <c r="E110" s="14" t="s">
        <v>14</v>
      </c>
    </row>
    <row r="111" spans="1:5" ht="15" customHeight="1" x14ac:dyDescent="0.25">
      <c r="A111" s="2" t="s">
        <v>5</v>
      </c>
      <c r="B111" s="2" t="s">
        <v>6</v>
      </c>
      <c r="C111" s="2" t="s">
        <v>34</v>
      </c>
      <c r="D111" s="3" t="s">
        <v>35</v>
      </c>
      <c r="E111" s="14" t="s">
        <v>14</v>
      </c>
    </row>
    <row r="112" spans="1:5" ht="15" customHeight="1" x14ac:dyDescent="0.25">
      <c r="A112" s="2" t="s">
        <v>5</v>
      </c>
      <c r="B112" s="2" t="s">
        <v>6</v>
      </c>
      <c r="C112" s="2" t="s">
        <v>40</v>
      </c>
      <c r="D112" s="3" t="s">
        <v>41</v>
      </c>
      <c r="E112" s="14" t="s">
        <v>14</v>
      </c>
    </row>
    <row r="113" spans="1:5" ht="15" customHeight="1" x14ac:dyDescent="0.25">
      <c r="A113" s="2" t="s">
        <v>5</v>
      </c>
      <c r="B113" s="2" t="s">
        <v>42</v>
      </c>
      <c r="C113" s="2" t="s">
        <v>45</v>
      </c>
      <c r="D113" s="3" t="s">
        <v>46</v>
      </c>
      <c r="E113" s="14" t="s">
        <v>14</v>
      </c>
    </row>
    <row r="114" spans="1:5" ht="15" customHeight="1" x14ac:dyDescent="0.25">
      <c r="A114" s="2" t="s">
        <v>5</v>
      </c>
      <c r="B114" s="2" t="s">
        <v>42</v>
      </c>
      <c r="C114" s="2" t="s">
        <v>47</v>
      </c>
      <c r="D114" s="3" t="s">
        <v>48</v>
      </c>
      <c r="E114" s="14" t="s">
        <v>14</v>
      </c>
    </row>
    <row r="115" spans="1:5" ht="15" customHeight="1" x14ac:dyDescent="0.25">
      <c r="A115" s="2" t="s">
        <v>5</v>
      </c>
      <c r="B115" s="2" t="s">
        <v>6</v>
      </c>
      <c r="C115" s="2" t="s">
        <v>18</v>
      </c>
      <c r="D115" s="3" t="s">
        <v>19</v>
      </c>
      <c r="E115" s="14" t="s">
        <v>20</v>
      </c>
    </row>
    <row r="116" spans="1:5" ht="15" customHeight="1" x14ac:dyDescent="0.25">
      <c r="A116" s="2" t="s">
        <v>5</v>
      </c>
      <c r="B116" s="2" t="s">
        <v>6</v>
      </c>
      <c r="C116" s="2" t="s">
        <v>38</v>
      </c>
      <c r="D116" s="3" t="s">
        <v>39</v>
      </c>
      <c r="E116" s="14" t="s">
        <v>20</v>
      </c>
    </row>
    <row r="117" spans="1:5" ht="15" customHeight="1" x14ac:dyDescent="0.25">
      <c r="A117" s="2" t="s">
        <v>5</v>
      </c>
      <c r="B117" s="2" t="s">
        <v>51</v>
      </c>
      <c r="C117" s="2" t="s">
        <v>54</v>
      </c>
      <c r="D117" s="3" t="s">
        <v>55</v>
      </c>
      <c r="E117" s="14" t="s">
        <v>20</v>
      </c>
    </row>
    <row r="118" spans="1:5" ht="15" customHeight="1" x14ac:dyDescent="0.25">
      <c r="A118" s="2" t="s">
        <v>5</v>
      </c>
      <c r="B118" s="2" t="s">
        <v>51</v>
      </c>
      <c r="C118" s="2" t="s">
        <v>58</v>
      </c>
      <c r="D118" s="3" t="s">
        <v>59</v>
      </c>
      <c r="E118" s="14" t="s">
        <v>20</v>
      </c>
    </row>
    <row r="119" spans="1:5" ht="15" customHeight="1" x14ac:dyDescent="0.25">
      <c r="A119" s="2" t="s">
        <v>5</v>
      </c>
      <c r="B119" s="2" t="s">
        <v>6</v>
      </c>
      <c r="C119" s="2" t="s">
        <v>7</v>
      </c>
      <c r="D119" s="3" t="s">
        <v>8</v>
      </c>
      <c r="E119" s="14" t="s">
        <v>9</v>
      </c>
    </row>
    <row r="120" spans="1:5" ht="15" customHeight="1" x14ac:dyDescent="0.25">
      <c r="A120" s="2" t="s">
        <v>5</v>
      </c>
      <c r="B120" s="2" t="s">
        <v>6</v>
      </c>
      <c r="C120" s="2" t="s">
        <v>10</v>
      </c>
      <c r="D120" s="3" t="s">
        <v>11</v>
      </c>
      <c r="E120" s="14" t="s">
        <v>9</v>
      </c>
    </row>
    <row r="121" spans="1:5" ht="15" customHeight="1" x14ac:dyDescent="0.25">
      <c r="A121" s="2" t="s">
        <v>5</v>
      </c>
      <c r="B121" s="2" t="s">
        <v>6</v>
      </c>
      <c r="C121" s="2" t="s">
        <v>21</v>
      </c>
      <c r="D121" s="3" t="s">
        <v>22</v>
      </c>
      <c r="E121" s="14" t="s">
        <v>9</v>
      </c>
    </row>
    <row r="122" spans="1:5" ht="15" customHeight="1" x14ac:dyDescent="0.25">
      <c r="A122" s="2" t="s">
        <v>5</v>
      </c>
      <c r="B122" s="2" t="s">
        <v>6</v>
      </c>
      <c r="C122" s="2" t="s">
        <v>23</v>
      </c>
      <c r="D122" s="3" t="s">
        <v>24</v>
      </c>
      <c r="E122" s="14" t="s">
        <v>9</v>
      </c>
    </row>
    <row r="123" spans="1:5" ht="15" customHeight="1" x14ac:dyDescent="0.25">
      <c r="A123" s="2" t="s">
        <v>5</v>
      </c>
      <c r="B123" s="2" t="s">
        <v>6</v>
      </c>
      <c r="C123" s="2" t="s">
        <v>36</v>
      </c>
      <c r="D123" s="3" t="s">
        <v>37</v>
      </c>
      <c r="E123" s="14" t="s">
        <v>9</v>
      </c>
    </row>
    <row r="124" spans="1:5" ht="15" customHeight="1" x14ac:dyDescent="0.25">
      <c r="A124" s="2" t="s">
        <v>5</v>
      </c>
      <c r="B124" s="2" t="s">
        <v>42</v>
      </c>
      <c r="C124" s="2" t="s">
        <v>43</v>
      </c>
      <c r="D124" s="3" t="s">
        <v>44</v>
      </c>
      <c r="E124" s="14" t="s">
        <v>9</v>
      </c>
    </row>
    <row r="125" spans="1:5" ht="15" customHeight="1" x14ac:dyDescent="0.25">
      <c r="A125" s="2" t="s">
        <v>5</v>
      </c>
      <c r="B125" s="2" t="s">
        <v>42</v>
      </c>
      <c r="C125" s="2" t="s">
        <v>49</v>
      </c>
      <c r="D125" s="3" t="s">
        <v>50</v>
      </c>
      <c r="E125" s="14" t="s">
        <v>9</v>
      </c>
    </row>
    <row r="126" spans="1:5" ht="15" customHeight="1" x14ac:dyDescent="0.25">
      <c r="A126" s="2" t="s">
        <v>5</v>
      </c>
      <c r="B126" s="2" t="s">
        <v>51</v>
      </c>
      <c r="C126" s="2" t="s">
        <v>52</v>
      </c>
      <c r="D126" s="3" t="s">
        <v>53</v>
      </c>
      <c r="E126" s="14" t="s">
        <v>9</v>
      </c>
    </row>
    <row r="127" spans="1:5" ht="15" customHeight="1" x14ac:dyDescent="0.25">
      <c r="A127" s="2" t="s">
        <v>5</v>
      </c>
      <c r="B127" s="2" t="s">
        <v>51</v>
      </c>
      <c r="C127" s="2" t="s">
        <v>56</v>
      </c>
      <c r="D127" s="3" t="s">
        <v>57</v>
      </c>
      <c r="E127" s="14" t="s">
        <v>9</v>
      </c>
    </row>
    <row r="128" spans="1:5" ht="15" customHeight="1" x14ac:dyDescent="0.25">
      <c r="A128" s="8" t="s">
        <v>384</v>
      </c>
      <c r="B128" s="8" t="s">
        <v>385</v>
      </c>
      <c r="C128" s="8" t="s">
        <v>386</v>
      </c>
      <c r="D128" s="9" t="s">
        <v>387</v>
      </c>
      <c r="E128" s="17" t="s">
        <v>388</v>
      </c>
    </row>
    <row r="129" spans="1:5" ht="15" customHeight="1" x14ac:dyDescent="0.25">
      <c r="A129" s="8" t="s">
        <v>384</v>
      </c>
      <c r="B129" s="8" t="s">
        <v>385</v>
      </c>
      <c r="C129" s="8" t="s">
        <v>386</v>
      </c>
      <c r="D129" s="9" t="s">
        <v>389</v>
      </c>
      <c r="E129" s="17" t="s">
        <v>388</v>
      </c>
    </row>
    <row r="130" spans="1:5" ht="15" customHeight="1" x14ac:dyDescent="0.25">
      <c r="A130" s="8" t="s">
        <v>384</v>
      </c>
      <c r="B130" s="8" t="s">
        <v>385</v>
      </c>
      <c r="C130" s="8" t="s">
        <v>386</v>
      </c>
      <c r="D130" s="9" t="s">
        <v>390</v>
      </c>
      <c r="E130" s="17" t="s">
        <v>388</v>
      </c>
    </row>
    <row r="131" spans="1:5" ht="15" customHeight="1" x14ac:dyDescent="0.25">
      <c r="A131" s="8" t="s">
        <v>384</v>
      </c>
      <c r="B131" s="8" t="s">
        <v>385</v>
      </c>
      <c r="C131" s="8" t="s">
        <v>391</v>
      </c>
      <c r="D131" s="9" t="s">
        <v>392</v>
      </c>
      <c r="E131" s="17" t="s">
        <v>388</v>
      </c>
    </row>
    <row r="132" spans="1:5" ht="15" customHeight="1" x14ac:dyDescent="0.25">
      <c r="A132" s="8" t="s">
        <v>384</v>
      </c>
      <c r="B132" s="8" t="s">
        <v>385</v>
      </c>
      <c r="C132" s="8" t="s">
        <v>394</v>
      </c>
      <c r="D132" s="9" t="s">
        <v>393</v>
      </c>
      <c r="E132" s="17" t="s">
        <v>388</v>
      </c>
    </row>
    <row r="133" spans="1:5" ht="15" customHeight="1" x14ac:dyDescent="0.25">
      <c r="A133" s="8" t="s">
        <v>384</v>
      </c>
      <c r="B133" s="8" t="s">
        <v>385</v>
      </c>
      <c r="C133" s="8" t="s">
        <v>396</v>
      </c>
      <c r="D133" s="9" t="s">
        <v>395</v>
      </c>
      <c r="E133" s="17" t="s">
        <v>388</v>
      </c>
    </row>
    <row r="134" spans="1:5" ht="15" customHeight="1" x14ac:dyDescent="0.25">
      <c r="A134" s="8" t="s">
        <v>384</v>
      </c>
      <c r="B134" s="8" t="s">
        <v>385</v>
      </c>
      <c r="C134" s="8" t="s">
        <v>398</v>
      </c>
      <c r="D134" s="9" t="s">
        <v>397</v>
      </c>
      <c r="E134" s="17" t="s">
        <v>388</v>
      </c>
    </row>
    <row r="135" spans="1:5" ht="15" customHeight="1" x14ac:dyDescent="0.25">
      <c r="A135" s="8" t="s">
        <v>384</v>
      </c>
      <c r="B135" s="8" t="s">
        <v>385</v>
      </c>
      <c r="C135" s="8" t="s">
        <v>400</v>
      </c>
      <c r="D135" s="9" t="s">
        <v>399</v>
      </c>
      <c r="E135" s="17" t="s">
        <v>388</v>
      </c>
    </row>
    <row r="136" spans="1:5" ht="15" customHeight="1" x14ac:dyDescent="0.25">
      <c r="A136" s="8" t="s">
        <v>384</v>
      </c>
      <c r="B136" s="8" t="s">
        <v>385</v>
      </c>
      <c r="C136" s="8" t="s">
        <v>611</v>
      </c>
      <c r="D136" s="9" t="s">
        <v>401</v>
      </c>
      <c r="E136" s="17" t="s">
        <v>388</v>
      </c>
    </row>
    <row r="137" spans="1:5" ht="15" customHeight="1" x14ac:dyDescent="0.25">
      <c r="A137" s="8" t="s">
        <v>384</v>
      </c>
      <c r="B137" s="8" t="s">
        <v>385</v>
      </c>
      <c r="C137" s="8" t="s">
        <v>612</v>
      </c>
      <c r="D137" s="9" t="s">
        <v>402</v>
      </c>
      <c r="E137" s="17" t="s">
        <v>388</v>
      </c>
    </row>
    <row r="138" spans="1:5" ht="15" customHeight="1" x14ac:dyDescent="0.25">
      <c r="A138" s="8" t="s">
        <v>384</v>
      </c>
      <c r="B138" s="8" t="s">
        <v>385</v>
      </c>
      <c r="C138" s="8" t="s">
        <v>404</v>
      </c>
      <c r="D138" s="9" t="s">
        <v>403</v>
      </c>
      <c r="E138" s="17" t="s">
        <v>388</v>
      </c>
    </row>
    <row r="139" spans="1:5" ht="15" customHeight="1" x14ac:dyDescent="0.25">
      <c r="A139" s="8" t="s">
        <v>384</v>
      </c>
      <c r="B139" s="8" t="s">
        <v>385</v>
      </c>
      <c r="C139" s="8" t="s">
        <v>612</v>
      </c>
      <c r="D139" s="9" t="s">
        <v>405</v>
      </c>
      <c r="E139" s="17" t="s">
        <v>388</v>
      </c>
    </row>
    <row r="140" spans="1:5" ht="15" customHeight="1" x14ac:dyDescent="0.25">
      <c r="A140" s="8" t="s">
        <v>384</v>
      </c>
      <c r="B140" s="8" t="s">
        <v>385</v>
      </c>
      <c r="C140" s="8" t="s">
        <v>406</v>
      </c>
      <c r="D140" s="9" t="s">
        <v>407</v>
      </c>
      <c r="E140" s="17" t="s">
        <v>388</v>
      </c>
    </row>
    <row r="141" spans="1:5" ht="15" customHeight="1" x14ac:dyDescent="0.25">
      <c r="A141" s="8" t="s">
        <v>384</v>
      </c>
      <c r="B141" s="8" t="s">
        <v>385</v>
      </c>
      <c r="C141" s="8" t="s">
        <v>409</v>
      </c>
      <c r="D141" s="9" t="s">
        <v>408</v>
      </c>
      <c r="E141" s="17" t="s">
        <v>388</v>
      </c>
    </row>
    <row r="142" spans="1:5" ht="15" customHeight="1" x14ac:dyDescent="0.25">
      <c r="A142" s="8" t="s">
        <v>384</v>
      </c>
      <c r="B142" s="8" t="s">
        <v>385</v>
      </c>
      <c r="C142" s="8" t="s">
        <v>410</v>
      </c>
      <c r="D142" s="9" t="s">
        <v>411</v>
      </c>
      <c r="E142" s="17" t="s">
        <v>388</v>
      </c>
    </row>
    <row r="143" spans="1:5" ht="15" customHeight="1" x14ac:dyDescent="0.25">
      <c r="A143" s="8" t="s">
        <v>384</v>
      </c>
      <c r="B143" s="8" t="s">
        <v>385</v>
      </c>
      <c r="C143" s="8" t="s">
        <v>410</v>
      </c>
      <c r="D143" s="9" t="s">
        <v>614</v>
      </c>
      <c r="E143" s="17" t="s">
        <v>388</v>
      </c>
    </row>
    <row r="144" spans="1:5" ht="15" customHeight="1" x14ac:dyDescent="0.25">
      <c r="A144" s="8" t="s">
        <v>384</v>
      </c>
      <c r="B144" s="8" t="s">
        <v>385</v>
      </c>
      <c r="C144" s="8" t="s">
        <v>410</v>
      </c>
      <c r="D144" s="9" t="s">
        <v>613</v>
      </c>
      <c r="E144" s="17" t="s">
        <v>388</v>
      </c>
    </row>
    <row r="145" spans="1:5" ht="15" customHeight="1" x14ac:dyDescent="0.25">
      <c r="A145" s="8" t="s">
        <v>384</v>
      </c>
      <c r="B145" s="8" t="s">
        <v>385</v>
      </c>
      <c r="C145" s="8" t="s">
        <v>412</v>
      </c>
      <c r="D145" s="9" t="s">
        <v>413</v>
      </c>
      <c r="E145" s="17" t="s">
        <v>388</v>
      </c>
    </row>
    <row r="146" spans="1:5" ht="15" customHeight="1" x14ac:dyDescent="0.25">
      <c r="A146" s="8" t="s">
        <v>384</v>
      </c>
      <c r="B146" s="8" t="s">
        <v>385</v>
      </c>
      <c r="C146" s="8" t="s">
        <v>412</v>
      </c>
      <c r="D146" s="9" t="s">
        <v>414</v>
      </c>
      <c r="E146" s="17" t="s">
        <v>388</v>
      </c>
    </row>
    <row r="147" spans="1:5" ht="15" customHeight="1" x14ac:dyDescent="0.25">
      <c r="A147" s="8" t="s">
        <v>384</v>
      </c>
      <c r="B147" s="8" t="s">
        <v>385</v>
      </c>
      <c r="C147" s="8" t="s">
        <v>415</v>
      </c>
      <c r="D147" s="9" t="s">
        <v>416</v>
      </c>
      <c r="E147" s="17" t="s">
        <v>388</v>
      </c>
    </row>
    <row r="148" spans="1:5" ht="15" customHeight="1" x14ac:dyDescent="0.25">
      <c r="A148" s="8" t="s">
        <v>384</v>
      </c>
      <c r="B148" s="8" t="s">
        <v>385</v>
      </c>
      <c r="C148" s="8" t="s">
        <v>417</v>
      </c>
      <c r="D148" s="9" t="s">
        <v>418</v>
      </c>
      <c r="E148" s="17" t="s">
        <v>388</v>
      </c>
    </row>
    <row r="149" spans="1:5" ht="15" customHeight="1" x14ac:dyDescent="0.25">
      <c r="A149" s="8" t="s">
        <v>384</v>
      </c>
      <c r="B149" s="8" t="s">
        <v>385</v>
      </c>
      <c r="C149" s="8" t="s">
        <v>419</v>
      </c>
      <c r="D149" s="9" t="s">
        <v>420</v>
      </c>
      <c r="E149" s="17" t="s">
        <v>388</v>
      </c>
    </row>
    <row r="150" spans="1:5" ht="15" customHeight="1" x14ac:dyDescent="0.25">
      <c r="A150" s="8" t="s">
        <v>384</v>
      </c>
      <c r="B150" s="8" t="s">
        <v>385</v>
      </c>
      <c r="C150" s="8" t="s">
        <v>421</v>
      </c>
      <c r="D150" s="9" t="s">
        <v>422</v>
      </c>
      <c r="E150" s="17" t="s">
        <v>388</v>
      </c>
    </row>
    <row r="151" spans="1:5" ht="15" customHeight="1" x14ac:dyDescent="0.25">
      <c r="A151" s="8" t="s">
        <v>384</v>
      </c>
      <c r="B151" s="8" t="s">
        <v>385</v>
      </c>
      <c r="C151" s="8" t="s">
        <v>421</v>
      </c>
      <c r="D151" s="9" t="s">
        <v>423</v>
      </c>
      <c r="E151" s="17" t="s">
        <v>388</v>
      </c>
    </row>
    <row r="152" spans="1:5" ht="15" customHeight="1" x14ac:dyDescent="0.25">
      <c r="A152" s="8" t="s">
        <v>384</v>
      </c>
      <c r="B152" s="8" t="s">
        <v>385</v>
      </c>
      <c r="C152" s="8" t="s">
        <v>425</v>
      </c>
      <c r="D152" s="9" t="s">
        <v>426</v>
      </c>
      <c r="E152" s="17" t="s">
        <v>388</v>
      </c>
    </row>
    <row r="153" spans="1:5" ht="15" customHeight="1" x14ac:dyDescent="0.25">
      <c r="A153" s="8" t="s">
        <v>384</v>
      </c>
      <c r="B153" s="8" t="s">
        <v>385</v>
      </c>
      <c r="C153" s="8" t="s">
        <v>427</v>
      </c>
      <c r="D153" s="9" t="s">
        <v>428</v>
      </c>
      <c r="E153" s="17" t="s">
        <v>388</v>
      </c>
    </row>
    <row r="154" spans="1:5" ht="15" customHeight="1" x14ac:dyDescent="0.25">
      <c r="A154" s="8" t="s">
        <v>384</v>
      </c>
      <c r="B154" s="8" t="s">
        <v>385</v>
      </c>
      <c r="C154" s="8" t="s">
        <v>427</v>
      </c>
      <c r="D154" s="9" t="s">
        <v>429</v>
      </c>
      <c r="E154" s="17" t="s">
        <v>388</v>
      </c>
    </row>
    <row r="155" spans="1:5" ht="15" customHeight="1" x14ac:dyDescent="0.25">
      <c r="A155" s="8" t="s">
        <v>384</v>
      </c>
      <c r="B155" s="8" t="s">
        <v>385</v>
      </c>
      <c r="C155" s="8" t="s">
        <v>424</v>
      </c>
      <c r="D155" s="9" t="s">
        <v>423</v>
      </c>
      <c r="E155" s="17" t="s">
        <v>388</v>
      </c>
    </row>
    <row r="156" spans="1:5" ht="15" customHeight="1" x14ac:dyDescent="0.25">
      <c r="A156" s="8" t="s">
        <v>384</v>
      </c>
      <c r="B156" s="8" t="s">
        <v>385</v>
      </c>
      <c r="C156" s="8" t="s">
        <v>430</v>
      </c>
      <c r="D156" s="9" t="s">
        <v>431</v>
      </c>
      <c r="E156" s="17" t="s">
        <v>388</v>
      </c>
    </row>
    <row r="157" spans="1:5" ht="15" customHeight="1" x14ac:dyDescent="0.25">
      <c r="A157" s="8" t="s">
        <v>384</v>
      </c>
      <c r="B157" s="8" t="s">
        <v>385</v>
      </c>
      <c r="C157" s="8" t="s">
        <v>432</v>
      </c>
      <c r="D157" s="9" t="s">
        <v>433</v>
      </c>
      <c r="E157" s="17" t="s">
        <v>388</v>
      </c>
    </row>
    <row r="158" spans="1:5" ht="15" customHeight="1" x14ac:dyDescent="0.25">
      <c r="A158" s="8" t="s">
        <v>384</v>
      </c>
      <c r="B158" s="8" t="s">
        <v>385</v>
      </c>
      <c r="C158" s="8" t="s">
        <v>434</v>
      </c>
      <c r="D158" s="9" t="s">
        <v>435</v>
      </c>
      <c r="E158" s="17" t="s">
        <v>388</v>
      </c>
    </row>
    <row r="159" spans="1:5" ht="15" customHeight="1" x14ac:dyDescent="0.25">
      <c r="A159" s="8" t="s">
        <v>384</v>
      </c>
      <c r="B159" s="8" t="s">
        <v>385</v>
      </c>
      <c r="C159" s="8" t="s">
        <v>434</v>
      </c>
      <c r="D159" s="9" t="s">
        <v>436</v>
      </c>
      <c r="E159" s="17" t="s">
        <v>388</v>
      </c>
    </row>
    <row r="160" spans="1:5" ht="15" customHeight="1" x14ac:dyDescent="0.25">
      <c r="A160" s="8" t="s">
        <v>384</v>
      </c>
      <c r="B160" s="8" t="s">
        <v>437</v>
      </c>
      <c r="C160" s="8" t="s">
        <v>437</v>
      </c>
      <c r="D160" s="9" t="s">
        <v>438</v>
      </c>
      <c r="E160" s="17" t="s">
        <v>388</v>
      </c>
    </row>
    <row r="161" spans="1:5" ht="15" customHeight="1" x14ac:dyDescent="0.25">
      <c r="A161" s="8" t="s">
        <v>384</v>
      </c>
      <c r="B161" s="8" t="s">
        <v>439</v>
      </c>
      <c r="C161" s="8" t="s">
        <v>440</v>
      </c>
      <c r="D161" s="9" t="s">
        <v>441</v>
      </c>
      <c r="E161" s="17" t="s">
        <v>388</v>
      </c>
    </row>
    <row r="162" spans="1:5" ht="15" customHeight="1" x14ac:dyDescent="0.25">
      <c r="A162" s="8" t="s">
        <v>384</v>
      </c>
      <c r="B162" s="8" t="s">
        <v>439</v>
      </c>
      <c r="C162" s="8" t="s">
        <v>442</v>
      </c>
      <c r="D162" s="9" t="s">
        <v>443</v>
      </c>
      <c r="E162" s="17" t="s">
        <v>388</v>
      </c>
    </row>
    <row r="163" spans="1:5" ht="15" customHeight="1" x14ac:dyDescent="0.25">
      <c r="A163" s="8" t="s">
        <v>384</v>
      </c>
      <c r="B163" s="8" t="s">
        <v>439</v>
      </c>
      <c r="C163" s="8" t="s">
        <v>444</v>
      </c>
      <c r="D163" s="9" t="s">
        <v>445</v>
      </c>
      <c r="E163" s="17" t="s">
        <v>388</v>
      </c>
    </row>
    <row r="164" spans="1:5" ht="15" customHeight="1" x14ac:dyDescent="0.25">
      <c r="A164" s="8" t="s">
        <v>384</v>
      </c>
      <c r="B164" s="8" t="s">
        <v>446</v>
      </c>
      <c r="C164" s="8" t="s">
        <v>447</v>
      </c>
      <c r="D164" s="9" t="s">
        <v>448</v>
      </c>
      <c r="E164" s="17" t="s">
        <v>388</v>
      </c>
    </row>
    <row r="165" spans="1:5" ht="15" customHeight="1" x14ac:dyDescent="0.25">
      <c r="A165" s="8" t="s">
        <v>384</v>
      </c>
      <c r="B165" s="8" t="s">
        <v>446</v>
      </c>
      <c r="C165" s="8" t="s">
        <v>449</v>
      </c>
      <c r="D165" s="9" t="s">
        <v>450</v>
      </c>
      <c r="E165" s="17" t="s">
        <v>388</v>
      </c>
    </row>
    <row r="166" spans="1:5" ht="15" customHeight="1" x14ac:dyDescent="0.25">
      <c r="A166" s="8" t="s">
        <v>384</v>
      </c>
      <c r="B166" s="8" t="s">
        <v>446</v>
      </c>
      <c r="C166" s="8" t="s">
        <v>451</v>
      </c>
      <c r="D166" s="9" t="s">
        <v>452</v>
      </c>
      <c r="E166" s="17" t="s">
        <v>388</v>
      </c>
    </row>
    <row r="167" spans="1:5" ht="15" customHeight="1" x14ac:dyDescent="0.25">
      <c r="A167" s="8" t="s">
        <v>384</v>
      </c>
      <c r="B167" s="8" t="s">
        <v>453</v>
      </c>
      <c r="C167" s="8" t="s">
        <v>454</v>
      </c>
      <c r="D167" s="9" t="s">
        <v>455</v>
      </c>
      <c r="E167" s="17" t="s">
        <v>388</v>
      </c>
    </row>
    <row r="168" spans="1:5" ht="15" customHeight="1" x14ac:dyDescent="0.25">
      <c r="A168" s="8" t="s">
        <v>384</v>
      </c>
      <c r="B168" s="8" t="s">
        <v>453</v>
      </c>
      <c r="C168" s="8" t="s">
        <v>456</v>
      </c>
      <c r="D168" s="9" t="s">
        <v>457</v>
      </c>
      <c r="E168" s="17" t="s">
        <v>388</v>
      </c>
    </row>
    <row r="169" spans="1:5" ht="15" customHeight="1" x14ac:dyDescent="0.25">
      <c r="A169" s="8" t="s">
        <v>384</v>
      </c>
      <c r="B169" s="8" t="s">
        <v>453</v>
      </c>
      <c r="C169" s="8" t="s">
        <v>458</v>
      </c>
      <c r="D169" s="9" t="s">
        <v>459</v>
      </c>
      <c r="E169" s="17" t="s">
        <v>388</v>
      </c>
    </row>
    <row r="170" spans="1:5" ht="15" customHeight="1" x14ac:dyDescent="0.25">
      <c r="A170" s="8" t="s">
        <v>384</v>
      </c>
      <c r="B170" s="8" t="s">
        <v>453</v>
      </c>
      <c r="C170" s="8" t="s">
        <v>460</v>
      </c>
      <c r="D170" s="9" t="s">
        <v>461</v>
      </c>
      <c r="E170" s="17" t="s">
        <v>388</v>
      </c>
    </row>
    <row r="171" spans="1:5" ht="15" customHeight="1" x14ac:dyDescent="0.25">
      <c r="A171" s="8" t="s">
        <v>384</v>
      </c>
      <c r="B171" s="8" t="s">
        <v>453</v>
      </c>
      <c r="C171" s="8" t="s">
        <v>462</v>
      </c>
      <c r="D171" s="9" t="s">
        <v>463</v>
      </c>
      <c r="E171" s="17" t="s">
        <v>388</v>
      </c>
    </row>
    <row r="172" spans="1:5" ht="15" customHeight="1" x14ac:dyDescent="0.25">
      <c r="A172" s="8" t="s">
        <v>384</v>
      </c>
      <c r="B172" s="8" t="s">
        <v>453</v>
      </c>
      <c r="C172" s="8" t="s">
        <v>464</v>
      </c>
      <c r="D172" s="9" t="s">
        <v>465</v>
      </c>
      <c r="E172" s="17" t="s">
        <v>388</v>
      </c>
    </row>
    <row r="173" spans="1:5" ht="15" customHeight="1" x14ac:dyDescent="0.25">
      <c r="A173" s="8" t="s">
        <v>384</v>
      </c>
      <c r="B173" s="8" t="s">
        <v>545</v>
      </c>
      <c r="C173" s="8" t="s">
        <v>546</v>
      </c>
      <c r="D173" s="9" t="s">
        <v>547</v>
      </c>
      <c r="E173" s="17" t="s">
        <v>388</v>
      </c>
    </row>
    <row r="174" spans="1:5" ht="15" customHeight="1" x14ac:dyDescent="0.25">
      <c r="A174" s="4" t="s">
        <v>144</v>
      </c>
      <c r="B174" s="4" t="s">
        <v>145</v>
      </c>
      <c r="C174" s="4" t="s">
        <v>146</v>
      </c>
      <c r="D174" s="5" t="s">
        <v>147</v>
      </c>
      <c r="E174" s="15" t="s">
        <v>148</v>
      </c>
    </row>
    <row r="175" spans="1:5" ht="15" customHeight="1" x14ac:dyDescent="0.25">
      <c r="A175" s="4" t="s">
        <v>144</v>
      </c>
      <c r="B175" s="4" t="s">
        <v>149</v>
      </c>
      <c r="C175" s="4" t="s">
        <v>150</v>
      </c>
      <c r="D175" s="5" t="s">
        <v>151</v>
      </c>
      <c r="E175" s="15" t="s">
        <v>148</v>
      </c>
    </row>
    <row r="176" spans="1:5" ht="15" customHeight="1" x14ac:dyDescent="0.25">
      <c r="A176" s="4" t="s">
        <v>144</v>
      </c>
      <c r="B176" s="4" t="s">
        <v>152</v>
      </c>
      <c r="C176" s="4" t="s">
        <v>153</v>
      </c>
      <c r="D176" s="5" t="s">
        <v>154</v>
      </c>
      <c r="E176" s="15" t="s">
        <v>148</v>
      </c>
    </row>
    <row r="177" spans="1:5" ht="15" customHeight="1" x14ac:dyDescent="0.25">
      <c r="A177" s="4" t="s">
        <v>144</v>
      </c>
      <c r="B177" s="4" t="s">
        <v>152</v>
      </c>
      <c r="C177" s="4" t="s">
        <v>153</v>
      </c>
      <c r="D177" s="5" t="s">
        <v>155</v>
      </c>
      <c r="E177" s="15" t="s">
        <v>148</v>
      </c>
    </row>
    <row r="178" spans="1:5" ht="15" customHeight="1" x14ac:dyDescent="0.25">
      <c r="A178" s="4" t="s">
        <v>144</v>
      </c>
      <c r="B178" s="4" t="s">
        <v>156</v>
      </c>
      <c r="C178" s="4" t="s">
        <v>157</v>
      </c>
      <c r="D178" s="5" t="s">
        <v>158</v>
      </c>
      <c r="E178" s="15" t="s">
        <v>148</v>
      </c>
    </row>
    <row r="179" spans="1:5" ht="15" customHeight="1" x14ac:dyDescent="0.25">
      <c r="A179" s="4" t="s">
        <v>144</v>
      </c>
      <c r="B179" s="4" t="s">
        <v>156</v>
      </c>
      <c r="C179" s="4" t="s">
        <v>159</v>
      </c>
      <c r="D179" s="5" t="s">
        <v>160</v>
      </c>
      <c r="E179" s="15" t="s">
        <v>148</v>
      </c>
    </row>
    <row r="180" spans="1:5" ht="15" customHeight="1" x14ac:dyDescent="0.25">
      <c r="A180" s="4" t="s">
        <v>144</v>
      </c>
      <c r="B180" s="4" t="s">
        <v>156</v>
      </c>
      <c r="C180" s="4" t="s">
        <v>161</v>
      </c>
      <c r="D180" s="5" t="s">
        <v>162</v>
      </c>
      <c r="E180" s="15" t="s">
        <v>148</v>
      </c>
    </row>
    <row r="181" spans="1:5" ht="15" customHeight="1" x14ac:dyDescent="0.25">
      <c r="A181" s="4" t="s">
        <v>144</v>
      </c>
      <c r="B181" s="4" t="s">
        <v>156</v>
      </c>
      <c r="C181" s="4" t="s">
        <v>163</v>
      </c>
      <c r="D181" s="5" t="s">
        <v>164</v>
      </c>
      <c r="E181" s="15" t="s">
        <v>148</v>
      </c>
    </row>
    <row r="182" spans="1:5" ht="15" customHeight="1" x14ac:dyDescent="0.25">
      <c r="A182" s="4" t="s">
        <v>144</v>
      </c>
      <c r="B182" s="4" t="s">
        <v>175</v>
      </c>
      <c r="C182" s="4" t="s">
        <v>176</v>
      </c>
      <c r="D182" s="5" t="s">
        <v>177</v>
      </c>
      <c r="E182" s="15" t="s">
        <v>148</v>
      </c>
    </row>
    <row r="183" spans="1:5" ht="15" customHeight="1" x14ac:dyDescent="0.25">
      <c r="A183" s="4" t="s">
        <v>144</v>
      </c>
      <c r="B183" s="4" t="s">
        <v>206</v>
      </c>
      <c r="C183" s="4" t="s">
        <v>207</v>
      </c>
      <c r="D183" s="5" t="s">
        <v>208</v>
      </c>
      <c r="E183" s="15" t="s">
        <v>148</v>
      </c>
    </row>
    <row r="184" spans="1:5" ht="15" customHeight="1" x14ac:dyDescent="0.25">
      <c r="A184" s="4" t="s">
        <v>144</v>
      </c>
      <c r="B184" s="4" t="s">
        <v>209</v>
      </c>
      <c r="C184" s="4" t="s">
        <v>210</v>
      </c>
      <c r="D184" s="5" t="s">
        <v>211</v>
      </c>
      <c r="E184" s="15" t="s">
        <v>148</v>
      </c>
    </row>
    <row r="185" spans="1:5" ht="15" customHeight="1" x14ac:dyDescent="0.25">
      <c r="A185" s="4" t="s">
        <v>144</v>
      </c>
      <c r="B185" s="4" t="s">
        <v>209</v>
      </c>
      <c r="C185" s="4" t="s">
        <v>212</v>
      </c>
      <c r="D185" s="5" t="s">
        <v>213</v>
      </c>
      <c r="E185" s="15" t="s">
        <v>148</v>
      </c>
    </row>
    <row r="186" spans="1:5" ht="15" customHeight="1" x14ac:dyDescent="0.25">
      <c r="A186" s="4" t="s">
        <v>144</v>
      </c>
      <c r="B186" s="4" t="s">
        <v>214</v>
      </c>
      <c r="C186" s="4" t="s">
        <v>215</v>
      </c>
      <c r="D186" s="5" t="s">
        <v>216</v>
      </c>
      <c r="E186" s="15" t="s">
        <v>148</v>
      </c>
    </row>
    <row r="187" spans="1:5" ht="15" customHeight="1" x14ac:dyDescent="0.25">
      <c r="A187" s="4" t="s">
        <v>144</v>
      </c>
      <c r="B187" s="4" t="s">
        <v>217</v>
      </c>
      <c r="C187" s="4" t="s">
        <v>218</v>
      </c>
      <c r="D187" s="5" t="s">
        <v>219</v>
      </c>
      <c r="E187" s="15" t="s">
        <v>148</v>
      </c>
    </row>
    <row r="188" spans="1:5" ht="15" customHeight="1" x14ac:dyDescent="0.25">
      <c r="A188" s="4" t="s">
        <v>144</v>
      </c>
      <c r="B188" s="4" t="s">
        <v>220</v>
      </c>
      <c r="C188" s="4" t="s">
        <v>221</v>
      </c>
      <c r="D188" s="5" t="s">
        <v>222</v>
      </c>
      <c r="E188" s="15" t="s">
        <v>148</v>
      </c>
    </row>
    <row r="189" spans="1:5" ht="15" customHeight="1" x14ac:dyDescent="0.25">
      <c r="A189" s="4" t="s">
        <v>144</v>
      </c>
      <c r="B189" s="4" t="s">
        <v>220</v>
      </c>
      <c r="C189" s="4" t="s">
        <v>223</v>
      </c>
      <c r="D189" s="5" t="s">
        <v>224</v>
      </c>
      <c r="E189" s="15" t="s">
        <v>148</v>
      </c>
    </row>
    <row r="190" spans="1:5" ht="15" customHeight="1" x14ac:dyDescent="0.25">
      <c r="A190" s="4" t="s">
        <v>144</v>
      </c>
      <c r="B190" s="4" t="s">
        <v>225</v>
      </c>
      <c r="C190" s="4" t="s">
        <v>226</v>
      </c>
      <c r="D190" s="5" t="s">
        <v>227</v>
      </c>
      <c r="E190" s="15" t="s">
        <v>148</v>
      </c>
    </row>
    <row r="191" spans="1:5" ht="15" customHeight="1" x14ac:dyDescent="0.25">
      <c r="A191" s="4" t="s">
        <v>144</v>
      </c>
      <c r="B191" s="4" t="s">
        <v>228</v>
      </c>
      <c r="C191" s="4" t="s">
        <v>229</v>
      </c>
      <c r="D191" s="5" t="s">
        <v>230</v>
      </c>
      <c r="E191" s="15" t="s">
        <v>148</v>
      </c>
    </row>
    <row r="192" spans="1:5" ht="15" customHeight="1" x14ac:dyDescent="0.25">
      <c r="A192" s="4" t="s">
        <v>144</v>
      </c>
      <c r="B192" s="4" t="s">
        <v>231</v>
      </c>
      <c r="C192" s="4" t="s">
        <v>232</v>
      </c>
      <c r="D192" s="5" t="s">
        <v>233</v>
      </c>
      <c r="E192" s="15" t="s">
        <v>148</v>
      </c>
    </row>
    <row r="193" spans="1:5" ht="15" customHeight="1" x14ac:dyDescent="0.25">
      <c r="A193" s="4" t="s">
        <v>144</v>
      </c>
      <c r="B193" s="4" t="s">
        <v>234</v>
      </c>
      <c r="C193" s="4" t="s">
        <v>235</v>
      </c>
      <c r="D193" s="5" t="s">
        <v>236</v>
      </c>
      <c r="E193" s="15" t="s">
        <v>148</v>
      </c>
    </row>
    <row r="194" spans="1:5" ht="15" customHeight="1" x14ac:dyDescent="0.25">
      <c r="A194" s="4" t="s">
        <v>144</v>
      </c>
      <c r="B194" s="4" t="s">
        <v>264</v>
      </c>
      <c r="C194" s="4" t="s">
        <v>265</v>
      </c>
      <c r="D194" s="5" t="s">
        <v>266</v>
      </c>
      <c r="E194" s="15" t="s">
        <v>148</v>
      </c>
    </row>
    <row r="195" spans="1:5" ht="15" customHeight="1" x14ac:dyDescent="0.25">
      <c r="A195" s="10" t="s">
        <v>548</v>
      </c>
      <c r="B195" s="10" t="s">
        <v>575</v>
      </c>
      <c r="C195" s="10" t="s">
        <v>576</v>
      </c>
      <c r="D195" s="11" t="s">
        <v>577</v>
      </c>
      <c r="E195" s="21" t="s">
        <v>610</v>
      </c>
    </row>
    <row r="196" spans="1:5" ht="15" customHeight="1" x14ac:dyDescent="0.25">
      <c r="A196" s="10" t="s">
        <v>548</v>
      </c>
      <c r="B196" s="10" t="s">
        <v>575</v>
      </c>
      <c r="C196" s="10" t="s">
        <v>578</v>
      </c>
      <c r="D196" s="11" t="s">
        <v>579</v>
      </c>
      <c r="E196" s="21" t="s">
        <v>610</v>
      </c>
    </row>
    <row r="197" spans="1:5" ht="15" customHeight="1" x14ac:dyDescent="0.25">
      <c r="A197" s="10" t="s">
        <v>548</v>
      </c>
      <c r="B197" s="10" t="s">
        <v>580</v>
      </c>
      <c r="C197" s="10" t="s">
        <v>581</v>
      </c>
      <c r="D197" s="11" t="s">
        <v>582</v>
      </c>
      <c r="E197" s="21" t="s">
        <v>610</v>
      </c>
    </row>
    <row r="198" spans="1:5" ht="15" customHeight="1" x14ac:dyDescent="0.25">
      <c r="A198" s="10" t="s">
        <v>548</v>
      </c>
      <c r="B198" s="10" t="s">
        <v>580</v>
      </c>
      <c r="C198" s="10" t="s">
        <v>583</v>
      </c>
      <c r="D198" s="11" t="s">
        <v>584</v>
      </c>
      <c r="E198" s="21" t="s">
        <v>610</v>
      </c>
    </row>
    <row r="199" spans="1:5" ht="15" customHeight="1" x14ac:dyDescent="0.25">
      <c r="A199" s="10" t="s">
        <v>548</v>
      </c>
      <c r="B199" s="10" t="s">
        <v>585</v>
      </c>
      <c r="C199" s="10" t="s">
        <v>586</v>
      </c>
      <c r="D199" s="11" t="s">
        <v>587</v>
      </c>
      <c r="E199" s="21" t="s">
        <v>610</v>
      </c>
    </row>
    <row r="200" spans="1:5" ht="15" customHeight="1" x14ac:dyDescent="0.25">
      <c r="A200" s="10" t="s">
        <v>548</v>
      </c>
      <c r="B200" s="10" t="s">
        <v>588</v>
      </c>
      <c r="C200" s="10" t="s">
        <v>589</v>
      </c>
      <c r="D200" s="11" t="s">
        <v>590</v>
      </c>
      <c r="E200" s="21" t="s">
        <v>610</v>
      </c>
    </row>
    <row r="201" spans="1:5" ht="15" customHeight="1" x14ac:dyDescent="0.25">
      <c r="A201" s="10" t="s">
        <v>548</v>
      </c>
      <c r="B201" s="10" t="s">
        <v>591</v>
      </c>
      <c r="C201" s="10" t="s">
        <v>592</v>
      </c>
      <c r="D201" s="11" t="s">
        <v>593</v>
      </c>
      <c r="E201" s="21" t="s">
        <v>610</v>
      </c>
    </row>
    <row r="202" spans="1:5" ht="15" customHeight="1" x14ac:dyDescent="0.25">
      <c r="A202" s="10" t="s">
        <v>548</v>
      </c>
      <c r="B202" s="10" t="s">
        <v>594</v>
      </c>
      <c r="C202" s="10" t="s">
        <v>595</v>
      </c>
      <c r="D202" s="11" t="s">
        <v>596</v>
      </c>
      <c r="E202" s="21" t="s">
        <v>610</v>
      </c>
    </row>
    <row r="203" spans="1:5" ht="15" customHeight="1" x14ac:dyDescent="0.25">
      <c r="A203" s="10" t="s">
        <v>548</v>
      </c>
      <c r="B203" s="10" t="s">
        <v>597</v>
      </c>
      <c r="C203" s="10" t="s">
        <v>598</v>
      </c>
      <c r="D203" s="11" t="s">
        <v>599</v>
      </c>
      <c r="E203" s="21" t="s">
        <v>610</v>
      </c>
    </row>
    <row r="204" spans="1:5" ht="15" customHeight="1" x14ac:dyDescent="0.25">
      <c r="A204" s="10" t="s">
        <v>548</v>
      </c>
      <c r="B204" s="10" t="s">
        <v>600</v>
      </c>
      <c r="C204" s="10" t="s">
        <v>601</v>
      </c>
      <c r="D204" s="11" t="s">
        <v>602</v>
      </c>
      <c r="E204" s="21" t="s">
        <v>610</v>
      </c>
    </row>
    <row r="205" spans="1:5" ht="15" customHeight="1" x14ac:dyDescent="0.25">
      <c r="A205" s="10" t="s">
        <v>548</v>
      </c>
      <c r="B205" s="10" t="s">
        <v>603</v>
      </c>
      <c r="C205" s="10" t="s">
        <v>604</v>
      </c>
      <c r="D205" s="11" t="s">
        <v>605</v>
      </c>
      <c r="E205" s="21" t="s">
        <v>610</v>
      </c>
    </row>
    <row r="206" spans="1:5" ht="15" customHeight="1" x14ac:dyDescent="0.25">
      <c r="A206" s="6" t="s">
        <v>267</v>
      </c>
      <c r="B206" s="6" t="s">
        <v>346</v>
      </c>
      <c r="C206" s="6" t="s">
        <v>347</v>
      </c>
      <c r="D206" s="7" t="s">
        <v>348</v>
      </c>
      <c r="E206" s="16" t="s">
        <v>346</v>
      </c>
    </row>
    <row r="207" spans="1:5" ht="15" customHeight="1" x14ac:dyDescent="0.25">
      <c r="A207" s="6" t="s">
        <v>267</v>
      </c>
      <c r="B207" s="6" t="s">
        <v>346</v>
      </c>
      <c r="C207" s="6" t="s">
        <v>349</v>
      </c>
      <c r="D207" s="7" t="s">
        <v>350</v>
      </c>
      <c r="E207" s="16" t="s">
        <v>346</v>
      </c>
    </row>
    <row r="208" spans="1:5" ht="15" customHeight="1" x14ac:dyDescent="0.25">
      <c r="A208" s="6" t="s">
        <v>267</v>
      </c>
      <c r="B208" s="6" t="s">
        <v>346</v>
      </c>
      <c r="C208" s="6" t="s">
        <v>351</v>
      </c>
      <c r="D208" s="7" t="s">
        <v>352</v>
      </c>
      <c r="E208" s="16" t="s">
        <v>346</v>
      </c>
    </row>
    <row r="209" spans="1:5" ht="15" customHeight="1" x14ac:dyDescent="0.25">
      <c r="A209" s="6" t="s">
        <v>267</v>
      </c>
      <c r="B209" s="6" t="s">
        <v>346</v>
      </c>
      <c r="C209" s="6" t="s">
        <v>351</v>
      </c>
      <c r="D209" s="7" t="s">
        <v>353</v>
      </c>
      <c r="E209" s="16" t="s">
        <v>346</v>
      </c>
    </row>
    <row r="210" spans="1:5" ht="15" customHeight="1" x14ac:dyDescent="0.25">
      <c r="A210" s="2" t="s">
        <v>5</v>
      </c>
      <c r="B210" s="2" t="s">
        <v>75</v>
      </c>
      <c r="C210" s="2" t="s">
        <v>76</v>
      </c>
      <c r="D210" s="3" t="s">
        <v>77</v>
      </c>
      <c r="E210" s="14" t="s">
        <v>78</v>
      </c>
    </row>
    <row r="211" spans="1:5" ht="15" customHeight="1" x14ac:dyDescent="0.25">
      <c r="A211" s="2" t="s">
        <v>5</v>
      </c>
      <c r="B211" s="2" t="s">
        <v>75</v>
      </c>
      <c r="C211" s="2" t="s">
        <v>79</v>
      </c>
      <c r="D211" s="3" t="s">
        <v>80</v>
      </c>
      <c r="E211" s="14" t="s">
        <v>78</v>
      </c>
    </row>
    <row r="212" spans="1:5" ht="15" customHeight="1" x14ac:dyDescent="0.25">
      <c r="A212" s="2" t="s">
        <v>5</v>
      </c>
      <c r="B212" s="2" t="s">
        <v>75</v>
      </c>
      <c r="C212" s="2" t="s">
        <v>81</v>
      </c>
      <c r="D212" s="3" t="s">
        <v>82</v>
      </c>
      <c r="E212" s="14" t="s">
        <v>78</v>
      </c>
    </row>
    <row r="213" spans="1:5" ht="15" customHeight="1" x14ac:dyDescent="0.25">
      <c r="A213" s="2" t="s">
        <v>5</v>
      </c>
      <c r="B213" s="2" t="s">
        <v>75</v>
      </c>
      <c r="C213" s="2" t="s">
        <v>83</v>
      </c>
      <c r="D213" s="3" t="s">
        <v>84</v>
      </c>
      <c r="E213" s="14" t="s">
        <v>78</v>
      </c>
    </row>
    <row r="214" spans="1:5" ht="15" customHeight="1" x14ac:dyDescent="0.25">
      <c r="A214" s="2" t="s">
        <v>5</v>
      </c>
      <c r="B214" s="2" t="s">
        <v>75</v>
      </c>
      <c r="C214" s="2" t="s">
        <v>85</v>
      </c>
      <c r="D214" s="3" t="s">
        <v>86</v>
      </c>
      <c r="E214" s="14" t="s">
        <v>78</v>
      </c>
    </row>
    <row r="215" spans="1:5" ht="15" customHeight="1" x14ac:dyDescent="0.25">
      <c r="A215" s="2" t="s">
        <v>5</v>
      </c>
      <c r="B215" s="2" t="s">
        <v>75</v>
      </c>
      <c r="C215" s="2" t="s">
        <v>87</v>
      </c>
      <c r="D215" s="3" t="s">
        <v>88</v>
      </c>
      <c r="E215" s="14" t="s">
        <v>78</v>
      </c>
    </row>
    <row r="216" spans="1:5" ht="15" customHeight="1" x14ac:dyDescent="0.25">
      <c r="A216" s="2" t="s">
        <v>5</v>
      </c>
      <c r="B216" s="2" t="s">
        <v>75</v>
      </c>
      <c r="C216" s="2" t="s">
        <v>89</v>
      </c>
      <c r="D216" s="3" t="s">
        <v>90</v>
      </c>
      <c r="E216" s="14" t="s">
        <v>78</v>
      </c>
    </row>
    <row r="217" spans="1:5" ht="15" customHeight="1" x14ac:dyDescent="0.25">
      <c r="A217" s="2" t="s">
        <v>5</v>
      </c>
      <c r="B217" s="2" t="s">
        <v>91</v>
      </c>
      <c r="C217" s="2" t="s">
        <v>92</v>
      </c>
      <c r="D217" s="3" t="s">
        <v>93</v>
      </c>
      <c r="E217" s="14" t="s">
        <v>78</v>
      </c>
    </row>
    <row r="218" spans="1:5" ht="15" customHeight="1" x14ac:dyDescent="0.25">
      <c r="A218" s="2" t="s">
        <v>5</v>
      </c>
      <c r="B218" s="2" t="s">
        <v>91</v>
      </c>
      <c r="C218" s="2" t="s">
        <v>94</v>
      </c>
      <c r="D218" s="3" t="s">
        <v>95</v>
      </c>
      <c r="E218" s="14" t="s">
        <v>78</v>
      </c>
    </row>
    <row r="219" spans="1:5" ht="15" customHeight="1" x14ac:dyDescent="0.25">
      <c r="A219" s="2" t="s">
        <v>5</v>
      </c>
      <c r="B219" s="2" t="s">
        <v>109</v>
      </c>
      <c r="C219" s="2" t="s">
        <v>110</v>
      </c>
      <c r="D219" s="3" t="s">
        <v>111</v>
      </c>
      <c r="E219" s="14" t="s">
        <v>78</v>
      </c>
    </row>
    <row r="220" spans="1:5" ht="15" customHeight="1" x14ac:dyDescent="0.25">
      <c r="A220" s="2" t="s">
        <v>5</v>
      </c>
      <c r="B220" s="2" t="s">
        <v>109</v>
      </c>
      <c r="C220" s="2" t="s">
        <v>112</v>
      </c>
      <c r="D220" s="3" t="s">
        <v>113</v>
      </c>
      <c r="E220" s="14" t="s">
        <v>78</v>
      </c>
    </row>
    <row r="221" spans="1:5" ht="15" customHeight="1" x14ac:dyDescent="0.25">
      <c r="A221" s="2" t="s">
        <v>5</v>
      </c>
      <c r="B221" s="2" t="s">
        <v>138</v>
      </c>
      <c r="C221" s="2" t="s">
        <v>139</v>
      </c>
      <c r="D221" s="3" t="s">
        <v>140</v>
      </c>
      <c r="E221" s="14" t="s">
        <v>78</v>
      </c>
    </row>
    <row r="222" spans="1:5" ht="15" customHeight="1" x14ac:dyDescent="0.25">
      <c r="A222" s="2" t="s">
        <v>5</v>
      </c>
      <c r="B222" s="2" t="s">
        <v>67</v>
      </c>
      <c r="C222" s="2" t="s">
        <v>70</v>
      </c>
      <c r="D222" s="3" t="s">
        <v>71</v>
      </c>
      <c r="E222" s="14" t="s">
        <v>72</v>
      </c>
    </row>
    <row r="223" spans="1:5" ht="15" customHeight="1" x14ac:dyDescent="0.25">
      <c r="A223" s="2" t="s">
        <v>5</v>
      </c>
      <c r="B223" s="2" t="s">
        <v>96</v>
      </c>
      <c r="C223" s="2" t="s">
        <v>97</v>
      </c>
      <c r="D223" s="3" t="s">
        <v>98</v>
      </c>
      <c r="E223" s="14" t="s">
        <v>72</v>
      </c>
    </row>
    <row r="224" spans="1:5" ht="15" customHeight="1" x14ac:dyDescent="0.25">
      <c r="A224" s="2" t="s">
        <v>5</v>
      </c>
      <c r="B224" s="2" t="s">
        <v>96</v>
      </c>
      <c r="C224" s="2" t="s">
        <v>99</v>
      </c>
      <c r="D224" s="3" t="s">
        <v>100</v>
      </c>
      <c r="E224" s="14" t="s">
        <v>72</v>
      </c>
    </row>
    <row r="225" spans="1:5" ht="15" customHeight="1" x14ac:dyDescent="0.25">
      <c r="A225" s="2" t="s">
        <v>5</v>
      </c>
      <c r="B225" s="2" t="s">
        <v>96</v>
      </c>
      <c r="C225" s="2" t="s">
        <v>101</v>
      </c>
      <c r="D225" s="3" t="s">
        <v>102</v>
      </c>
      <c r="E225" s="14" t="s">
        <v>72</v>
      </c>
    </row>
    <row r="226" spans="1:5" ht="15" customHeight="1" x14ac:dyDescent="0.25">
      <c r="A226" s="2" t="s">
        <v>5</v>
      </c>
      <c r="B226" s="2" t="s">
        <v>103</v>
      </c>
      <c r="C226" s="2" t="s">
        <v>104</v>
      </c>
      <c r="D226" s="3" t="s">
        <v>105</v>
      </c>
      <c r="E226" s="14" t="s">
        <v>72</v>
      </c>
    </row>
    <row r="227" spans="1:5" ht="15" customHeight="1" x14ac:dyDescent="0.25">
      <c r="A227" s="2" t="s">
        <v>5</v>
      </c>
      <c r="B227" s="2" t="s">
        <v>106</v>
      </c>
      <c r="C227" s="2" t="s">
        <v>107</v>
      </c>
      <c r="D227" s="3" t="s">
        <v>108</v>
      </c>
      <c r="E227" s="14" t="s">
        <v>72</v>
      </c>
    </row>
    <row r="228" spans="1:5" ht="15" customHeight="1" x14ac:dyDescent="0.25">
      <c r="A228" s="8" t="s">
        <v>384</v>
      </c>
      <c r="B228" s="8" t="s">
        <v>466</v>
      </c>
      <c r="C228" s="8" t="s">
        <v>466</v>
      </c>
      <c r="D228" s="9" t="s">
        <v>467</v>
      </c>
      <c r="E228" s="17" t="s">
        <v>468</v>
      </c>
    </row>
    <row r="229" spans="1:5" ht="15" customHeight="1" x14ac:dyDescent="0.25">
      <c r="A229" s="8" t="s">
        <v>384</v>
      </c>
      <c r="B229" s="8" t="s">
        <v>469</v>
      </c>
      <c r="C229" s="8" t="s">
        <v>615</v>
      </c>
      <c r="D229" s="9" t="s">
        <v>470</v>
      </c>
      <c r="E229" s="17" t="s">
        <v>468</v>
      </c>
    </row>
    <row r="230" spans="1:5" ht="15" customHeight="1" x14ac:dyDescent="0.25">
      <c r="A230" s="8" t="s">
        <v>384</v>
      </c>
      <c r="B230" s="8" t="s">
        <v>469</v>
      </c>
      <c r="C230" s="8" t="s">
        <v>615</v>
      </c>
      <c r="D230" s="9" t="s">
        <v>471</v>
      </c>
      <c r="E230" s="17" t="s">
        <v>468</v>
      </c>
    </row>
    <row r="231" spans="1:5" ht="15" customHeight="1" x14ac:dyDescent="0.25">
      <c r="A231" s="8" t="s">
        <v>384</v>
      </c>
      <c r="B231" s="8" t="s">
        <v>469</v>
      </c>
      <c r="C231" s="8" t="s">
        <v>615</v>
      </c>
      <c r="D231" s="9" t="s">
        <v>472</v>
      </c>
      <c r="E231" s="17" t="s">
        <v>468</v>
      </c>
    </row>
    <row r="232" spans="1:5" ht="15" customHeight="1" x14ac:dyDescent="0.25">
      <c r="A232" s="8" t="s">
        <v>384</v>
      </c>
      <c r="B232" s="8" t="s">
        <v>469</v>
      </c>
      <c r="C232" s="8" t="s">
        <v>473</v>
      </c>
      <c r="D232" s="9" t="s">
        <v>616</v>
      </c>
      <c r="E232" s="17" t="s">
        <v>468</v>
      </c>
    </row>
    <row r="233" spans="1:5" ht="15" customHeight="1" x14ac:dyDescent="0.25">
      <c r="A233" s="8" t="s">
        <v>384</v>
      </c>
      <c r="B233" s="8" t="s">
        <v>469</v>
      </c>
      <c r="C233" s="8" t="s">
        <v>474</v>
      </c>
      <c r="D233" s="9" t="s">
        <v>475</v>
      </c>
      <c r="E233" s="17" t="s">
        <v>468</v>
      </c>
    </row>
    <row r="234" spans="1:5" ht="15" customHeight="1" x14ac:dyDescent="0.25">
      <c r="A234" s="8" t="s">
        <v>384</v>
      </c>
      <c r="B234" s="8" t="s">
        <v>469</v>
      </c>
      <c r="C234" s="8" t="s">
        <v>476</v>
      </c>
      <c r="D234" s="9" t="s">
        <v>477</v>
      </c>
      <c r="E234" s="17" t="s">
        <v>468</v>
      </c>
    </row>
    <row r="235" spans="1:5" ht="15" customHeight="1" x14ac:dyDescent="0.25">
      <c r="A235" s="8" t="s">
        <v>384</v>
      </c>
      <c r="B235" s="8" t="s">
        <v>478</v>
      </c>
      <c r="C235" s="8" t="s">
        <v>479</v>
      </c>
      <c r="D235" s="9" t="s">
        <v>480</v>
      </c>
      <c r="E235" s="17" t="s">
        <v>468</v>
      </c>
    </row>
    <row r="236" spans="1:5" ht="15" customHeight="1" x14ac:dyDescent="0.25">
      <c r="A236" s="8" t="s">
        <v>384</v>
      </c>
      <c r="B236" s="8" t="s">
        <v>478</v>
      </c>
      <c r="C236" s="8" t="s">
        <v>479</v>
      </c>
      <c r="D236" s="9" t="s">
        <v>481</v>
      </c>
      <c r="E236" s="17" t="s">
        <v>468</v>
      </c>
    </row>
    <row r="237" spans="1:5" ht="15" customHeight="1" x14ac:dyDescent="0.25">
      <c r="A237" s="8" t="s">
        <v>384</v>
      </c>
      <c r="B237" s="8" t="s">
        <v>478</v>
      </c>
      <c r="C237" s="8" t="s">
        <v>482</v>
      </c>
      <c r="D237" s="9" t="s">
        <v>483</v>
      </c>
      <c r="E237" s="17" t="s">
        <v>468</v>
      </c>
    </row>
    <row r="238" spans="1:5" ht="15" customHeight="1" x14ac:dyDescent="0.25">
      <c r="A238" s="8" t="s">
        <v>384</v>
      </c>
      <c r="B238" s="8" t="s">
        <v>478</v>
      </c>
      <c r="C238" s="8" t="s">
        <v>482</v>
      </c>
      <c r="D238" s="9" t="s">
        <v>484</v>
      </c>
      <c r="E238" s="17" t="s">
        <v>468</v>
      </c>
    </row>
    <row r="239" spans="1:5" ht="15" customHeight="1" x14ac:dyDescent="0.25">
      <c r="A239" s="8" t="s">
        <v>384</v>
      </c>
      <c r="B239" s="8" t="s">
        <v>478</v>
      </c>
      <c r="C239" s="8" t="s">
        <v>485</v>
      </c>
      <c r="D239" s="9" t="s">
        <v>486</v>
      </c>
      <c r="E239" s="17" t="s">
        <v>468</v>
      </c>
    </row>
    <row r="240" spans="1:5" ht="15" customHeight="1" x14ac:dyDescent="0.25">
      <c r="A240" s="8" t="s">
        <v>384</v>
      </c>
      <c r="B240" s="8" t="s">
        <v>478</v>
      </c>
      <c r="C240" s="8" t="s">
        <v>487</v>
      </c>
      <c r="D240" s="9" t="s">
        <v>488</v>
      </c>
      <c r="E240" s="17" t="s">
        <v>468</v>
      </c>
    </row>
    <row r="241" spans="1:5" ht="15" customHeight="1" x14ac:dyDescent="0.25">
      <c r="A241" s="8" t="s">
        <v>384</v>
      </c>
      <c r="B241" s="8" t="s">
        <v>489</v>
      </c>
      <c r="C241" s="8" t="s">
        <v>490</v>
      </c>
      <c r="D241" s="9" t="s">
        <v>491</v>
      </c>
      <c r="E241" s="17" t="s">
        <v>468</v>
      </c>
    </row>
    <row r="242" spans="1:5" ht="15" customHeight="1" x14ac:dyDescent="0.25">
      <c r="A242" s="8" t="s">
        <v>384</v>
      </c>
      <c r="B242" s="8" t="s">
        <v>489</v>
      </c>
      <c r="C242" s="8" t="s">
        <v>492</v>
      </c>
      <c r="D242" s="9" t="s">
        <v>493</v>
      </c>
      <c r="E242" s="17" t="s">
        <v>468</v>
      </c>
    </row>
    <row r="243" spans="1:5" ht="15" customHeight="1" x14ac:dyDescent="0.25">
      <c r="A243" s="8" t="s">
        <v>384</v>
      </c>
      <c r="B243" s="8" t="s">
        <v>494</v>
      </c>
      <c r="C243" s="8" t="s">
        <v>495</v>
      </c>
      <c r="D243" s="9" t="s">
        <v>496</v>
      </c>
      <c r="E243" s="17" t="s">
        <v>468</v>
      </c>
    </row>
    <row r="244" spans="1:5" ht="15" customHeight="1" x14ac:dyDescent="0.25">
      <c r="A244" s="8" t="s">
        <v>384</v>
      </c>
      <c r="B244" s="8" t="s">
        <v>494</v>
      </c>
      <c r="C244" s="8" t="s">
        <v>495</v>
      </c>
      <c r="D244" s="9" t="s">
        <v>497</v>
      </c>
      <c r="E244" s="17" t="s">
        <v>468</v>
      </c>
    </row>
    <row r="245" spans="1:5" ht="15" customHeight="1" x14ac:dyDescent="0.25">
      <c r="A245" s="8" t="s">
        <v>384</v>
      </c>
      <c r="B245" s="8" t="s">
        <v>494</v>
      </c>
      <c r="C245" s="8" t="s">
        <v>498</v>
      </c>
      <c r="D245" s="9" t="s">
        <v>499</v>
      </c>
      <c r="E245" s="17" t="s">
        <v>468</v>
      </c>
    </row>
    <row r="246" spans="1:5" ht="15" customHeight="1" x14ac:dyDescent="0.25">
      <c r="A246" s="8" t="s">
        <v>384</v>
      </c>
      <c r="B246" s="8" t="s">
        <v>494</v>
      </c>
      <c r="C246" s="8" t="s">
        <v>500</v>
      </c>
      <c r="D246" s="9" t="s">
        <v>501</v>
      </c>
      <c r="E246" s="17" t="s">
        <v>468</v>
      </c>
    </row>
    <row r="247" spans="1:5" ht="15" customHeight="1" x14ac:dyDescent="0.25">
      <c r="A247" s="8" t="s">
        <v>384</v>
      </c>
      <c r="B247" s="8" t="s">
        <v>502</v>
      </c>
      <c r="C247" s="8" t="s">
        <v>503</v>
      </c>
      <c r="D247" s="9" t="s">
        <v>504</v>
      </c>
      <c r="E247" s="17" t="s">
        <v>468</v>
      </c>
    </row>
    <row r="248" spans="1:5" ht="15" customHeight="1" x14ac:dyDescent="0.25">
      <c r="A248" s="8" t="s">
        <v>384</v>
      </c>
      <c r="B248" s="8" t="s">
        <v>502</v>
      </c>
      <c r="C248" s="8" t="s">
        <v>503</v>
      </c>
      <c r="D248" s="9" t="s">
        <v>505</v>
      </c>
      <c r="E248" s="17" t="s">
        <v>468</v>
      </c>
    </row>
    <row r="249" spans="1:5" ht="15" customHeight="1" x14ac:dyDescent="0.25">
      <c r="A249" s="8" t="s">
        <v>384</v>
      </c>
      <c r="B249" s="8" t="s">
        <v>502</v>
      </c>
      <c r="C249" s="8" t="s">
        <v>503</v>
      </c>
      <c r="D249" s="9" t="s">
        <v>506</v>
      </c>
      <c r="E249" s="17" t="s">
        <v>468</v>
      </c>
    </row>
    <row r="250" spans="1:5" ht="15" customHeight="1" x14ac:dyDescent="0.25">
      <c r="A250" s="8" t="s">
        <v>384</v>
      </c>
      <c r="B250" s="8" t="s">
        <v>502</v>
      </c>
      <c r="C250" s="8" t="s">
        <v>507</v>
      </c>
      <c r="D250" s="9" t="s">
        <v>508</v>
      </c>
      <c r="E250" s="17" t="s">
        <v>468</v>
      </c>
    </row>
    <row r="251" spans="1:5" ht="15" customHeight="1" x14ac:dyDescent="0.25">
      <c r="A251" s="8" t="s">
        <v>384</v>
      </c>
      <c r="B251" s="8" t="s">
        <v>502</v>
      </c>
      <c r="C251" s="8" t="s">
        <v>509</v>
      </c>
      <c r="D251" s="9" t="s">
        <v>510</v>
      </c>
      <c r="E251" s="17" t="s">
        <v>468</v>
      </c>
    </row>
    <row r="252" spans="1:5" ht="15" customHeight="1" x14ac:dyDescent="0.25">
      <c r="A252" s="8" t="s">
        <v>384</v>
      </c>
      <c r="B252" s="8" t="s">
        <v>511</v>
      </c>
      <c r="C252" s="8" t="s">
        <v>512</v>
      </c>
      <c r="D252" s="9" t="s">
        <v>513</v>
      </c>
      <c r="E252" s="17" t="s">
        <v>468</v>
      </c>
    </row>
    <row r="253" spans="1:5" ht="15" customHeight="1" x14ac:dyDescent="0.25">
      <c r="A253" s="8" t="s">
        <v>384</v>
      </c>
      <c r="B253" s="8" t="s">
        <v>542</v>
      </c>
      <c r="C253" s="8" t="s">
        <v>543</v>
      </c>
      <c r="D253" s="9" t="s">
        <v>544</v>
      </c>
      <c r="E253" s="17" t="s">
        <v>468</v>
      </c>
    </row>
    <row r="254" spans="1:5" ht="15" customHeight="1" x14ac:dyDescent="0.25">
      <c r="A254" s="6" t="s">
        <v>267</v>
      </c>
      <c r="B254" s="6" t="s">
        <v>354</v>
      </c>
      <c r="C254" s="6" t="s">
        <v>355</v>
      </c>
      <c r="D254" s="7" t="s">
        <v>356</v>
      </c>
      <c r="E254" s="16" t="s">
        <v>357</v>
      </c>
    </row>
    <row r="255" spans="1:5" ht="15" customHeight="1" x14ac:dyDescent="0.25">
      <c r="A255" s="6" t="s">
        <v>267</v>
      </c>
      <c r="B255" s="6" t="s">
        <v>354</v>
      </c>
      <c r="C255" s="6" t="s">
        <v>355</v>
      </c>
      <c r="D255" s="7" t="s">
        <v>358</v>
      </c>
      <c r="E255" s="16" t="s">
        <v>357</v>
      </c>
    </row>
    <row r="256" spans="1:5" ht="15" customHeight="1" x14ac:dyDescent="0.25">
      <c r="A256" s="6" t="s">
        <v>267</v>
      </c>
      <c r="B256" s="6" t="s">
        <v>354</v>
      </c>
      <c r="C256" s="6" t="s">
        <v>359</v>
      </c>
      <c r="D256" s="7" t="s">
        <v>358</v>
      </c>
      <c r="E256" s="16" t="s">
        <v>357</v>
      </c>
    </row>
    <row r="257" spans="1:5" ht="15" customHeight="1" x14ac:dyDescent="0.25">
      <c r="A257" s="6" t="s">
        <v>267</v>
      </c>
      <c r="B257" s="6" t="s">
        <v>360</v>
      </c>
      <c r="C257" s="6" t="s">
        <v>361</v>
      </c>
      <c r="D257" s="7" t="s">
        <v>362</v>
      </c>
      <c r="E257" s="16" t="s">
        <v>357</v>
      </c>
    </row>
    <row r="258" spans="1:5" ht="15" customHeight="1" x14ac:dyDescent="0.25">
      <c r="A258" s="6" t="s">
        <v>267</v>
      </c>
      <c r="B258" s="6" t="s">
        <v>363</v>
      </c>
      <c r="C258" s="6" t="s">
        <v>364</v>
      </c>
      <c r="D258" s="7" t="s">
        <v>365</v>
      </c>
      <c r="E258" s="16" t="s">
        <v>357</v>
      </c>
    </row>
    <row r="259" spans="1:5" ht="15" customHeight="1" x14ac:dyDescent="0.25">
      <c r="A259" s="6" t="s">
        <v>267</v>
      </c>
      <c r="B259" s="6" t="s">
        <v>366</v>
      </c>
      <c r="C259" s="6" t="s">
        <v>367</v>
      </c>
      <c r="D259" s="7" t="s">
        <v>368</v>
      </c>
      <c r="E259" s="16" t="s">
        <v>357</v>
      </c>
    </row>
    <row r="260" spans="1:5" ht="15" customHeight="1" x14ac:dyDescent="0.25">
      <c r="A260" s="6" t="s">
        <v>267</v>
      </c>
      <c r="B260" s="6" t="s">
        <v>369</v>
      </c>
      <c r="C260" s="6" t="s">
        <v>370</v>
      </c>
      <c r="D260" s="7" t="s">
        <v>371</v>
      </c>
      <c r="E260" s="16" t="s">
        <v>357</v>
      </c>
    </row>
    <row r="261" spans="1:5" ht="15" customHeight="1" x14ac:dyDescent="0.25">
      <c r="A261" s="6" t="s">
        <v>267</v>
      </c>
      <c r="B261" s="6" t="s">
        <v>372</v>
      </c>
      <c r="C261" s="6" t="s">
        <v>373</v>
      </c>
      <c r="D261" s="7" t="s">
        <v>374</v>
      </c>
      <c r="E261" s="16" t="s">
        <v>357</v>
      </c>
    </row>
  </sheetData>
  <autoFilter ref="A1:E261" xr:uid="{00000000-0001-0000-0000-000000000000}">
    <sortState xmlns:xlrd2="http://schemas.microsoft.com/office/spreadsheetml/2017/richdata2" ref="A2:E261">
      <sortCondition ref="E1:E26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defaultColWidth="8.7109375" defaultRowHeight="15" x14ac:dyDescent="0.25"/>
  <cols>
    <col min="1" max="1" width="25" customWidth="1"/>
    <col min="2" max="2" width="16" customWidth="1"/>
    <col min="3" max="3" width="18" customWidth="1"/>
  </cols>
  <sheetData>
    <row r="1" spans="1:3" ht="15" customHeight="1" x14ac:dyDescent="0.25">
      <c r="A1" s="1" t="s">
        <v>0</v>
      </c>
      <c r="B1" s="1" t="s">
        <v>606</v>
      </c>
      <c r="C1" s="1" t="s">
        <v>607</v>
      </c>
    </row>
    <row r="2" spans="1:3" ht="15" customHeight="1" x14ac:dyDescent="0.25">
      <c r="A2" s="2" t="s">
        <v>5</v>
      </c>
      <c r="B2" s="2">
        <f>SUMPRODUCT((1/COUNTIFS('Container Ports'!A:A,'Container Ports'!A2:A261,'Container Ports'!C:C,'Container Ports'!C2:C261))*('Container Ports'!A2:A261=A2))</f>
        <v>55</v>
      </c>
      <c r="C2" s="2">
        <f>COUNTIF('Container Ports'!A:A,A2)</f>
        <v>58</v>
      </c>
    </row>
    <row r="3" spans="1:3" ht="15" customHeight="1" x14ac:dyDescent="0.25">
      <c r="A3" s="4" t="s">
        <v>144</v>
      </c>
      <c r="B3" s="4">
        <f>SUMPRODUCT((1/COUNTIFS('Container Ports'!A:A,'Container Ports'!A2:A261,'Container Ports'!C:C,'Container Ports'!C2:C261))*('Container Ports'!A2:A261=A3))</f>
        <v>46</v>
      </c>
      <c r="C3" s="4">
        <f>COUNTIF('Container Ports'!A:A,A3)</f>
        <v>48</v>
      </c>
    </row>
    <row r="4" spans="1:3" ht="15" customHeight="1" x14ac:dyDescent="0.25">
      <c r="A4" s="6" t="s">
        <v>267</v>
      </c>
      <c r="B4" s="6">
        <f>SUMPRODUCT((1/COUNTIFS('Container Ports'!A:A,'Container Ports'!A2:A261,'Container Ports'!C:C,'Container Ports'!C2:C261))*('Container Ports'!A2:A261=A4))</f>
        <v>41</v>
      </c>
      <c r="C4" s="6">
        <f>COUNTIF('Container Ports'!A:A,A4)</f>
        <v>46</v>
      </c>
    </row>
    <row r="5" spans="1:3" ht="15" customHeight="1" x14ac:dyDescent="0.25">
      <c r="A5" s="8" t="s">
        <v>384</v>
      </c>
      <c r="B5" s="8">
        <f>SUMPRODUCT((1/COUNTIFS('Container Ports'!A:A,'Container Ports'!A2:A261,'Container Ports'!C:C,'Container Ports'!C2:C261))*('Container Ports'!A2:A261=A5))</f>
        <v>68.000000000000014</v>
      </c>
      <c r="C5" s="8">
        <f>COUNTIF('Container Ports'!A:A,A5)</f>
        <v>84</v>
      </c>
    </row>
    <row r="6" spans="1:3" ht="15" customHeight="1" x14ac:dyDescent="0.25">
      <c r="A6" s="10" t="s">
        <v>548</v>
      </c>
      <c r="B6" s="10">
        <f>SUMPRODUCT((1/COUNTIFS('Container Ports'!A:A,'Container Ports'!A2:A261,'Container Ports'!C:C,'Container Ports'!C2:C261))*('Container Ports'!A2:A261=A6))</f>
        <v>24</v>
      </c>
      <c r="C6" s="10">
        <f>COUNTIF('Container Ports'!A:A,A6)</f>
        <v>24</v>
      </c>
    </row>
    <row r="7" spans="1:3" ht="15" customHeight="1" x14ac:dyDescent="0.25">
      <c r="A7" s="12" t="s">
        <v>608</v>
      </c>
      <c r="B7" s="12"/>
      <c r="C7" s="12">
        <f>SUM(C2:C6)</f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 Ports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 Brotherton</cp:lastModifiedBy>
  <cp:revision>0</cp:revision>
  <dcterms:created xsi:type="dcterms:W3CDTF">2026-06-04T00:19:28Z</dcterms:created>
  <dcterms:modified xsi:type="dcterms:W3CDTF">2026-06-04T04:57:29Z</dcterms:modified>
  <dc:language>en-US</dc:language>
</cp:coreProperties>
</file>