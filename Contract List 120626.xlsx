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msonline-my.sharepoint.com/personal/k_chace_aaw_com_au/Documents/Microsoft Teams Chat Files/"/>
    </mc:Choice>
  </mc:AlternateContent>
  <xr:revisionPtr revIDLastSave="2" documentId="8_{03E219F0-EEDE-4F91-93A8-6E9B34DDAB80}" xr6:coauthVersionLast="47" xr6:coauthVersionMax="47" xr10:uidLastSave="{D47793C7-FD94-4C0B-8AED-9F20577CB162}"/>
  <bookViews>
    <workbookView xWindow="-120" yWindow="-120" windowWidth="29040" windowHeight="15720" activeTab="1" xr2:uid="{AAA76018-C54D-431E-AF5E-7CC38FC5159F}"/>
  </bookViews>
  <sheets>
    <sheet name="query (6)" sheetId="1" r:id="rId1"/>
    <sheet name="2026 NEA Allocation" sheetId="2" r:id="rId2"/>
  </sheets>
  <definedNames>
    <definedName name="_xlnm.Print_Titles" localSheetId="1">'2026 NEA Allocation'!$1:$6</definedName>
    <definedName name="query__6" localSheetId="0" hidden="1">'query (6)'!$A$1:$M$25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2" l="1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P14" i="2"/>
  <c r="P13" i="2"/>
  <c r="P12" i="2"/>
  <c r="P11" i="2"/>
  <c r="P10" i="2"/>
  <c r="P9" i="2"/>
  <c r="P8" i="2"/>
  <c r="P7" i="2"/>
  <c r="P15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5D412E-5773-4BDA-A1C4-B40B317EF0E8}" odcFile="C:\Users\braaw21\Downloads\query (6).iqy" keepAlive="1" name="query (6)" type="5" refreshedVersion="8" minRefreshableVersion="3" saveData="1">
    <dbPr connection="Provider=Microsoft.Office.List.OLEDB.2.0;Data Source=&quot;&quot;;ApplicationName=Excel;Version=12.0.0.0" command="&lt;LIST&gt;&lt;VIEWGUID&gt;DB6A3E37-B55E-440B-83D7-A864625DB1E4&lt;/VIEWGUID&gt;&lt;LISTNAME&gt;5a152391-1faf-4d0a-93d8-234a085414a1&lt;/LISTNAME&gt;&lt;LISTWEB&gt;https://gmsonline.sharepoint.com/sites/ProcurementPage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<sst xmlns="http://schemas.openxmlformats.org/spreadsheetml/2006/main" count="406" uniqueCount="149">
  <si>
    <t>Title</t>
  </si>
  <si>
    <t>Contract#</t>
  </si>
  <si>
    <t>Destination</t>
  </si>
  <si>
    <t>Rate Type</t>
  </si>
  <si>
    <t>Start Date</t>
  </si>
  <si>
    <t>Expired Date</t>
  </si>
  <si>
    <t>Contract Owner</t>
  </si>
  <si>
    <t>Allocation</t>
  </si>
  <si>
    <t>Origin</t>
  </si>
  <si>
    <t>Priority</t>
  </si>
  <si>
    <t>Free Time</t>
  </si>
  <si>
    <t>Path</t>
  </si>
  <si>
    <t>Item Type</t>
  </si>
  <si>
    <t>CMA</t>
  </si>
  <si>
    <t xml:space="preserve">QNAM075087 </t>
  </si>
  <si>
    <t>AU</t>
  </si>
  <si>
    <t>Quarterly NAC (Auto)</t>
  </si>
  <si>
    <t>AAW QLD</t>
  </si>
  <si>
    <t>USSAV</t>
  </si>
  <si>
    <t>Normal</t>
  </si>
  <si>
    <t>14 days at POD</t>
  </si>
  <si>
    <t>sites/ProcurementPage/Lists/Contract Master</t>
  </si>
  <si>
    <t>Item</t>
  </si>
  <si>
    <t>QAAWN0000012</t>
  </si>
  <si>
    <t>AUEC/ NZAKL</t>
  </si>
  <si>
    <t>EUR</t>
  </si>
  <si>
    <t>YAAWN0000013</t>
  </si>
  <si>
    <t>AUEC</t>
  </si>
  <si>
    <t>Yearly NAC (Timber)</t>
  </si>
  <si>
    <t>04/08/2026</t>
  </si>
  <si>
    <t>03/31/2027</t>
  </si>
  <si>
    <t>Qingdao/ Xiamen</t>
  </si>
  <si>
    <t>FL4136-NMS-A-001</t>
  </si>
  <si>
    <t>AUDRW</t>
  </si>
  <si>
    <t>Quarterly NAC (Darwin)</t>
  </si>
  <si>
    <t>04/01/2026</t>
  </si>
  <si>
    <t>06/30/2026</t>
  </si>
  <si>
    <t>Maersk</t>
  </si>
  <si>
    <t>299163347</t>
  </si>
  <si>
    <t>SCFI</t>
  </si>
  <si>
    <t>Weekly Index</t>
  </si>
  <si>
    <t>AAW NSW</t>
  </si>
  <si>
    <t>SEA</t>
  </si>
  <si>
    <t>8 days at POD</t>
  </si>
  <si>
    <t>MGF</t>
  </si>
  <si>
    <t>299952465</t>
  </si>
  <si>
    <t>NZ</t>
  </si>
  <si>
    <t>Quarterly NAC</t>
  </si>
  <si>
    <t>06/04/2026</t>
  </si>
  <si>
    <t>05/07/2026</t>
  </si>
  <si>
    <t>21 days at POL; 12 days at POD</t>
  </si>
  <si>
    <t>299992851</t>
  </si>
  <si>
    <t>AMR</t>
  </si>
  <si>
    <t>AAW VIC</t>
  </si>
  <si>
    <t>AU, NZ</t>
  </si>
  <si>
    <t>21 days at POL</t>
  </si>
  <si>
    <t>MSC</t>
  </si>
  <si>
    <t>4319-1-LT</t>
  </si>
  <si>
    <t>AUEC/AUWC</t>
  </si>
  <si>
    <t>Yearly NAC (Bundle)</t>
  </si>
  <si>
    <t>NEA</t>
  </si>
  <si>
    <t>High</t>
  </si>
  <si>
    <t>18 days at POD</t>
  </si>
  <si>
    <t>PIL</t>
  </si>
  <si>
    <t>MELLN260010</t>
  </si>
  <si>
    <t>Yearly NAC (Shanghai)</t>
  </si>
  <si>
    <t>Shanghai</t>
  </si>
  <si>
    <t>299992850</t>
  </si>
  <si>
    <t>EUR to AU/NZ - 2 FEU per week</t>
  </si>
  <si>
    <t>12 days at POD</t>
  </si>
  <si>
    <t>OOCL</t>
  </si>
  <si>
    <t>AUT26705</t>
  </si>
  <si>
    <t>Yearly NAC (Packaging)</t>
  </si>
  <si>
    <t>TH to AU - 2 FEU per week</t>
  </si>
  <si>
    <t>Thailand</t>
  </si>
  <si>
    <t>03/31/2026</t>
  </si>
  <si>
    <t>ONE</t>
  </si>
  <si>
    <t xml:space="preserve">BNEN00159A </t>
  </si>
  <si>
    <t>FAK</t>
  </si>
  <si>
    <t>NEA, SEA</t>
  </si>
  <si>
    <t>TBNEN00429A</t>
  </si>
  <si>
    <t>Yearly NAC (Construction)</t>
  </si>
  <si>
    <t>TAO to EC - 5 FEU per week</t>
  </si>
  <si>
    <t>Qingdao</t>
  </si>
  <si>
    <t xml:space="preserve">AUT26704 </t>
  </si>
  <si>
    <t>Yearly NAC (Toilet Paper)</t>
  </si>
  <si>
    <t>Qingdao/ Chongqing</t>
  </si>
  <si>
    <t>GSCIF220008</t>
  </si>
  <si>
    <t>Fortnightly</t>
  </si>
  <si>
    <t>16646</t>
  </si>
  <si>
    <t>03/01/2026</t>
  </si>
  <si>
    <t>HMM</t>
  </si>
  <si>
    <t xml:space="preserve">CAU2200050 </t>
  </si>
  <si>
    <t>Low</t>
  </si>
  <si>
    <t>MELLN250040</t>
  </si>
  <si>
    <t>Yearly NAC (Toilet)</t>
  </si>
  <si>
    <t>TAO to EC - 20 TEU per week</t>
  </si>
  <si>
    <t>AUWC</t>
  </si>
  <si>
    <t>299424850</t>
  </si>
  <si>
    <t xml:space="preserve">NEA to WC - 4 FEU per week </t>
  </si>
  <si>
    <t>NEA to EC - 17 FEU per week</t>
  </si>
  <si>
    <t>4319-1-ST</t>
  </si>
  <si>
    <t>4319-1-8888-ST</t>
  </si>
  <si>
    <t>Special FAK</t>
  </si>
  <si>
    <t>SHA to AUEC - 2 TEU per week</t>
  </si>
  <si>
    <t>AU/NZ to USWC - 3 FEU per week, AU/NZ to USEC - 2 FEU per week</t>
  </si>
  <si>
    <t>TAO to WC - 5 FEU per week, TAO to EC - 4 FEU per week</t>
  </si>
  <si>
    <t>XMN to EC - 5x40NOR per week, TAO to EC - 2 x 40HC per week/ XMN to EC - 2 x 40HC per week</t>
  </si>
  <si>
    <t>thailand</t>
  </si>
  <si>
    <t>2026 NEA ALLOCATION — Weekly TEU Commitments by Port</t>
  </si>
  <si>
    <t>⚠  Financial Penalty: USD 500 / FEU applies to Maersk Q2 commitments</t>
  </si>
  <si>
    <t>TEU/WK</t>
  </si>
  <si>
    <t xml:space="preserve">  🟢  HIGH — Use first</t>
  </si>
  <si>
    <t xml:space="preserve">  🔵  NORMAL — Standard use</t>
  </si>
  <si>
    <t xml:space="preserve">Maersk — Q2
(299424850)
</t>
  </si>
  <si>
    <t xml:space="preserve">MSC — Long Term
 (4319-1-LT)
</t>
  </si>
  <si>
    <t xml:space="preserve">MSC — Short Term
(4319-1-8888-ST)
</t>
  </si>
  <si>
    <t xml:space="preserve">PIL — Long Term
</t>
  </si>
  <si>
    <t xml:space="preserve">MGF - Long Term 
(AAW167312, Diff to Short Term Tariff)
</t>
  </si>
  <si>
    <t>CONDITIONS</t>
  </si>
  <si>
    <t>⚠  Financial Penalty: USD 500 / FEU applies to Maersk Q2 commitments
SCFI Index-linked at 35% discount off weekly SHA–MEL base rate. Friday index sets the following Mon–Sun rate. 
90% monthly minimum. Non-compliance will trigger allocation revision or contract cancellation.
EMERGENCY SURCHARGES WILL BE INCL. 
Booking Lead Time: ETD minus 4 weeks</t>
  </si>
  <si>
    <t>Validity: 01 Apr 2026 – 31 Mar 2027
Rates: See Wheelhouse. · BRQ incl. Subject to THC, locals and HAZ if applicable. SUBJECT TO EMERGENCY SURCHARGES. PSS: Applicable
Validity: 01 Apr 2026 – 31 Mar 2027. 14 days free time at POD. 
Booking Ratio: 1 TEU FAK required for every 1 TEU NAC booked, same POL → POD region. 
Space Commitment: Port-pair allocation. Below 80% weekly award triggers allocation reduction.
Equipment released: ETD minus 10 days</t>
  </si>
  <si>
    <t>Must be booked in equal amounts with MSC LT from same region
Adjusts downward to market pressure within validity period
SUBJECT TO EMERGENCY SURCHARGES
Equipment released: ETD minus 10 days</t>
  </si>
  <si>
    <t xml:space="preserve">Must be booked 4 weeks prior to ETD
Rates (USD/TEU): See Wheelhouse. SUBJECT TO EMERGENCY SURCHARGES. PSS: Applicable
Validity: ETD 01 Apr 2026 – 31 Mar 2027. 14 days free time at POD. 
Compliance: 80% fulfilment vs. allocation required from CNTAO, CNSGH, CNSHK (Q2 2026). Shortfall triggers reallocation from Q3.
Booking Lead Time: Bookings placed ETD minus 4 weeks. 
Allocation Rules: Nominated service only. No blank sailing accumulation — case by case.
</t>
  </si>
  <si>
    <t>Validity: 01 Apr 2026 – 31 Mar 2027
Even share: EMC, HMM, OOCL, MSC, COSCO. MGF to advise what space is avail. at time of booking</t>
  </si>
  <si>
    <t>TOTAL
TEU/WK</t>
  </si>
  <si>
    <t>PORT</t>
  </si>
  <si>
    <t>NEA→EC</t>
  </si>
  <si>
    <t>NEA→WC</t>
  </si>
  <si>
    <t>QINGDAO→EC</t>
  </si>
  <si>
    <t>YANTIAN→EC</t>
  </si>
  <si>
    <t>NINGBO→EC</t>
  </si>
  <si>
    <t>NINGBO→WC</t>
  </si>
  <si>
    <t>SHANGHAI→EC</t>
  </si>
  <si>
    <t>SHANGHAI→WC</t>
  </si>
  <si>
    <t>CHANGZHOU→EC</t>
  </si>
  <si>
    <t>NEA→AU</t>
  </si>
  <si>
    <t>CNTAO→EC (MELLN260010)</t>
  </si>
  <si>
    <t>CNSHK→EC (MELLN260011)</t>
  </si>
  <si>
    <t>CNSHA→EC (MELLN250040)</t>
  </si>
  <si>
    <t>BNE</t>
  </si>
  <si>
    <t>-</t>
  </si>
  <si>
    <t>ADL</t>
  </si>
  <si>
    <t>FRE</t>
  </si>
  <si>
    <t>MEL</t>
  </si>
  <si>
    <t>SYD</t>
  </si>
  <si>
    <t>PRJ</t>
  </si>
  <si>
    <t>AKL</t>
  </si>
  <si>
    <t>REGIONAL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</si>
</sst>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rgb="FFFFFFFF"/>
      <name val="Arial"/>
      <family val="2"/>
    </font>
    <font>
      <b/>
      <sz val="9"/>
      <color rgb="FF843C00"/>
      <name val="Arial"/>
      <family val="2"/>
    </font>
    <font>
      <b/>
      <sz val="8"/>
      <color rgb="FFFFFFFF"/>
      <name val="Arial"/>
      <family val="2"/>
    </font>
    <font>
      <b/>
      <sz val="8"/>
      <color rgb="FF375623"/>
      <name val="Arial"/>
      <family val="2"/>
    </font>
    <font>
      <b/>
      <sz val="8"/>
      <color rgb="FF1F4E79"/>
      <name val="Arial"/>
      <family val="2"/>
    </font>
    <font>
      <b/>
      <sz val="10"/>
      <color rgb="FFFFFFFF"/>
      <name val="Arial"/>
      <family val="2"/>
    </font>
    <font>
      <sz val="8"/>
      <color theme="1"/>
      <name val="Aptos Narrow"/>
      <family val="2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</fonts>
  <fills count="4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A1A2E"/>
        <bgColor rgb="FF1A1A2E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EEAF1"/>
        <bgColor rgb="FFDEEAF1"/>
      </patternFill>
    </fill>
    <fill>
      <patternFill patternType="solid">
        <fgColor rgb="FF404040"/>
        <bgColor rgb="FF404040"/>
      </patternFill>
    </fill>
    <fill>
      <patternFill patternType="solid">
        <fgColor rgb="FF833C00"/>
        <bgColor rgb="FF833C00"/>
      </patternFill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375623"/>
        <bgColor rgb="FF375623"/>
      </patternFill>
    </fill>
    <fill>
      <patternFill patternType="solid">
        <fgColor theme="5" tint="-0.249977111117893"/>
        <bgColor rgb="FF833C00"/>
      </patternFill>
    </fill>
    <fill>
      <patternFill patternType="solid">
        <fgColor rgb="FF2C3E50"/>
        <bgColor rgb="FF2C3E50"/>
      </patternFill>
    </fill>
    <fill>
      <patternFill patternType="solid">
        <fgColor rgb="FFFCE4D6"/>
        <bgColor rgb="FFFCE4D6"/>
      </patternFill>
    </fill>
    <fill>
      <patternFill patternType="solid">
        <fgColor rgb="FFF7F7F7"/>
        <bgColor rgb="FFF7F7F7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theme="5" tint="0.59999389629810485"/>
        <bgColor rgb="FFFCE4D6"/>
      </patternFill>
    </fill>
  </fills>
  <borders count="3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888888"/>
      </right>
      <top/>
      <bottom/>
      <diagonal/>
    </border>
    <border>
      <left style="medium">
        <color rgb="FF888888"/>
      </left>
      <right style="thin">
        <color rgb="FFCCCCCC"/>
      </right>
      <top style="thin">
        <color rgb="FFCCCCCC"/>
      </top>
      <bottom style="medium">
        <color rgb="FF888888"/>
      </bottom>
      <diagonal/>
    </border>
    <border>
      <left style="thin">
        <color rgb="FFCCCCCC"/>
      </left>
      <right/>
      <top/>
      <bottom style="medium">
        <color rgb="FF888888"/>
      </bottom>
      <diagonal/>
    </border>
    <border>
      <left/>
      <right/>
      <top/>
      <bottom style="medium">
        <color rgb="FF888888"/>
      </bottom>
      <diagonal/>
    </border>
    <border>
      <left style="medium">
        <color rgb="FF888888"/>
      </left>
      <right style="medium">
        <color rgb="FF888888"/>
      </right>
      <top/>
      <bottom/>
      <diagonal/>
    </border>
    <border>
      <left style="medium">
        <color rgb="FF888888"/>
      </left>
      <right style="thin">
        <color rgb="FFCCCCCC"/>
      </right>
      <top style="thin">
        <color rgb="FFCCCCCC"/>
      </top>
      <bottom/>
      <diagonal/>
    </border>
    <border>
      <left style="medium">
        <color rgb="FF888888"/>
      </left>
      <right/>
      <top style="medium">
        <color rgb="FF888888"/>
      </top>
      <bottom/>
      <diagonal/>
    </border>
    <border>
      <left/>
      <right style="medium">
        <color rgb="FF888888"/>
      </right>
      <top style="medium">
        <color rgb="FF888888"/>
      </top>
      <bottom/>
      <diagonal/>
    </border>
    <border>
      <left/>
      <right/>
      <top style="medium">
        <color rgb="FF888888"/>
      </top>
      <bottom/>
      <diagonal/>
    </border>
    <border>
      <left style="medium">
        <color rgb="FF888888"/>
      </left>
      <right style="thin">
        <color rgb="FFCCCCCC"/>
      </right>
      <top/>
      <bottom style="medium">
        <color rgb="FF888888"/>
      </bottom>
      <diagonal/>
    </border>
    <border>
      <left style="medium">
        <color rgb="FF888888"/>
      </left>
      <right/>
      <top/>
      <bottom style="thin">
        <color rgb="FFCCCCCC"/>
      </bottom>
      <diagonal/>
    </border>
    <border>
      <left/>
      <right style="medium">
        <color rgb="FF888888"/>
      </right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 style="medium">
        <color rgb="FF888888"/>
      </left>
      <right style="medium">
        <color rgb="FF888888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888888"/>
      </bottom>
      <diagonal/>
    </border>
    <border>
      <left/>
      <right style="thin">
        <color rgb="FFCCCCCC"/>
      </right>
      <top style="thin">
        <color rgb="FFCCCCCC"/>
      </top>
      <bottom style="medium">
        <color rgb="FF888888"/>
      </bottom>
      <diagonal/>
    </border>
    <border>
      <left style="medium">
        <color rgb="FF888888"/>
      </left>
      <right style="medium">
        <color rgb="FF888888"/>
      </right>
      <top style="thin">
        <color rgb="FFCCCCCC"/>
      </top>
      <bottom style="medium">
        <color rgb="FF888888"/>
      </bottom>
      <diagonal/>
    </border>
    <border>
      <left style="medium">
        <color rgb="FF888888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888888"/>
      </left>
      <right style="thin">
        <color rgb="FFCCCCCC"/>
      </right>
      <top style="medium">
        <color rgb="FF888888"/>
      </top>
      <bottom/>
      <diagonal/>
    </border>
    <border>
      <left style="thin">
        <color rgb="FFCCCCCC"/>
      </left>
      <right style="thin">
        <color rgb="FFCCCCCC"/>
      </right>
      <top style="medium">
        <color rgb="FF888888"/>
      </top>
      <bottom/>
      <diagonal/>
    </border>
    <border>
      <left style="thin">
        <color rgb="FFCCCCCC"/>
      </left>
      <right style="medium">
        <color rgb="FF888888"/>
      </right>
      <top style="medium">
        <color rgb="FF888888"/>
      </top>
      <bottom/>
      <diagonal/>
    </border>
    <border>
      <left style="medium">
        <color rgb="FF888888"/>
      </left>
      <right style="medium">
        <color rgb="FF888888"/>
      </right>
      <top style="thin">
        <color rgb="FFCCCCCC"/>
      </top>
      <bottom style="thin">
        <color rgb="FFCCCCCC"/>
      </bottom>
      <diagonal/>
    </border>
    <border>
      <left style="medium">
        <color rgb="FF888888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medium">
        <color rgb="FF888888"/>
      </right>
      <top/>
      <bottom/>
      <diagonal/>
    </border>
    <border>
      <left style="thin">
        <color rgb="FFCCCCCC"/>
      </left>
      <right style="thin">
        <color rgb="FFCCCCCC"/>
      </right>
      <top/>
      <bottom style="medium">
        <color rgb="FF888888"/>
      </bottom>
      <diagonal/>
    </border>
    <border>
      <left style="thin">
        <color rgb="FFCCCCCC"/>
      </left>
      <right style="medium">
        <color rgb="FF888888"/>
      </right>
      <top/>
      <bottom style="medium">
        <color rgb="FF888888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1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18" fillId="33" borderId="0" xfId="0" applyFont="1" applyFill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9" fillId="34" borderId="0" xfId="0" applyFont="1" applyFill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0" fontId="20" fillId="33" borderId="11" xfId="0" applyFont="1" applyFill="1" applyBorder="1" applyAlignment="1">
      <alignment horizontal="center" vertical="center" wrapText="1"/>
    </xf>
    <xf numFmtId="0" fontId="21" fillId="35" borderId="12" xfId="0" applyFont="1" applyFill="1" applyBorder="1" applyAlignment="1">
      <alignment horizontal="center" vertical="center" wrapText="1"/>
    </xf>
    <xf numFmtId="0" fontId="21" fillId="35" borderId="13" xfId="0" applyFont="1" applyFill="1" applyBorder="1" applyAlignment="1">
      <alignment horizontal="center" vertical="center" wrapText="1"/>
    </xf>
    <xf numFmtId="0" fontId="22" fillId="36" borderId="13" xfId="0" applyFont="1" applyFill="1" applyBorder="1" applyAlignment="1">
      <alignment horizontal="center" vertical="center" wrapText="1"/>
    </xf>
    <xf numFmtId="0" fontId="23" fillId="37" borderId="14" xfId="0" applyFont="1" applyFill="1" applyBorder="1" applyAlignment="1">
      <alignment horizontal="center" vertical="center" wrapText="1"/>
    </xf>
    <xf numFmtId="0" fontId="16" fillId="0" borderId="0" xfId="0" applyFont="1"/>
    <xf numFmtId="0" fontId="20" fillId="33" borderId="15" xfId="0" applyFont="1" applyFill="1" applyBorder="1" applyAlignment="1">
      <alignment vertical="top" wrapText="1"/>
    </xf>
    <xf numFmtId="0" fontId="23" fillId="38" borderId="16" xfId="0" applyFont="1" applyFill="1" applyBorder="1" applyAlignment="1">
      <alignment horizontal="center" vertical="top" wrapText="1"/>
    </xf>
    <xf numFmtId="0" fontId="23" fillId="38" borderId="17" xfId="0" applyFont="1" applyFill="1" applyBorder="1" applyAlignment="1">
      <alignment horizontal="center" vertical="top" wrapText="1"/>
    </xf>
    <xf numFmtId="0" fontId="23" fillId="39" borderId="16" xfId="0" applyFont="1" applyFill="1" applyBorder="1" applyAlignment="1">
      <alignment horizontal="center" vertical="top" wrapText="1"/>
    </xf>
    <xf numFmtId="0" fontId="23" fillId="39" borderId="18" xfId="0" applyFont="1" applyFill="1" applyBorder="1" applyAlignment="1">
      <alignment horizontal="center" vertical="top" wrapText="1"/>
    </xf>
    <xf numFmtId="0" fontId="23" fillId="39" borderId="17" xfId="0" applyFont="1" applyFill="1" applyBorder="1" applyAlignment="1">
      <alignment horizontal="center" vertical="top" wrapText="1"/>
    </xf>
    <xf numFmtId="0" fontId="23" fillId="40" borderId="16" xfId="0" applyFont="1" applyFill="1" applyBorder="1" applyAlignment="1">
      <alignment horizontal="center" vertical="top" wrapText="1"/>
    </xf>
    <xf numFmtId="0" fontId="23" fillId="41" borderId="16" xfId="0" applyFont="1" applyFill="1" applyBorder="1" applyAlignment="1">
      <alignment horizontal="center" vertical="top" wrapText="1"/>
    </xf>
    <xf numFmtId="0" fontId="23" fillId="41" borderId="18" xfId="0" applyFont="1" applyFill="1" applyBorder="1" applyAlignment="1">
      <alignment horizontal="center" vertical="top" wrapText="1"/>
    </xf>
    <xf numFmtId="0" fontId="23" fillId="41" borderId="17" xfId="0" applyFont="1" applyFill="1" applyBorder="1" applyAlignment="1">
      <alignment horizontal="center" vertical="top" wrapText="1"/>
    </xf>
    <xf numFmtId="0" fontId="23" fillId="42" borderId="17" xfId="0" applyFont="1" applyFill="1" applyBorder="1" applyAlignment="1">
      <alignment horizontal="center" vertical="top" wrapText="1"/>
    </xf>
    <xf numFmtId="0" fontId="23" fillId="37" borderId="14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20" fillId="33" borderId="19" xfId="0" applyFont="1" applyFill="1" applyBorder="1" applyAlignment="1">
      <alignment vertical="top" textRotation="255" wrapText="1"/>
    </xf>
    <xf numFmtId="0" fontId="20" fillId="38" borderId="20" xfId="0" applyFont="1" applyFill="1" applyBorder="1" applyAlignment="1">
      <alignment horizontal="center" vertical="top" wrapText="1"/>
    </xf>
    <xf numFmtId="0" fontId="20" fillId="38" borderId="21" xfId="0" applyFont="1" applyFill="1" applyBorder="1" applyAlignment="1">
      <alignment horizontal="center" vertical="top" wrapText="1"/>
    </xf>
    <xf numFmtId="0" fontId="20" fillId="39" borderId="20" xfId="0" applyFont="1" applyFill="1" applyBorder="1" applyAlignment="1">
      <alignment horizontal="center" vertical="top" wrapText="1"/>
    </xf>
    <xf numFmtId="0" fontId="20" fillId="39" borderId="22" xfId="0" applyFont="1" applyFill="1" applyBorder="1" applyAlignment="1">
      <alignment horizontal="center" vertical="top" wrapText="1"/>
    </xf>
    <xf numFmtId="0" fontId="20" fillId="39" borderId="21" xfId="0" applyFont="1" applyFill="1" applyBorder="1" applyAlignment="1">
      <alignment horizontal="center" vertical="top" wrapText="1"/>
    </xf>
    <xf numFmtId="0" fontId="20" fillId="40" borderId="20" xfId="0" applyFont="1" applyFill="1" applyBorder="1" applyAlignment="1">
      <alignment horizontal="center" vertical="top" wrapText="1"/>
    </xf>
    <xf numFmtId="0" fontId="20" fillId="41" borderId="20" xfId="0" applyFont="1" applyFill="1" applyBorder="1" applyAlignment="1">
      <alignment horizontal="center" vertical="top" wrapText="1"/>
    </xf>
    <xf numFmtId="0" fontId="20" fillId="41" borderId="22" xfId="0" applyFont="1" applyFill="1" applyBorder="1" applyAlignment="1">
      <alignment horizontal="center" vertical="top" wrapText="1"/>
    </xf>
    <xf numFmtId="0" fontId="20" fillId="41" borderId="21" xfId="0" applyFont="1" applyFill="1" applyBorder="1" applyAlignment="1">
      <alignment horizontal="center" vertical="top" wrapText="1"/>
    </xf>
    <xf numFmtId="0" fontId="20" fillId="42" borderId="21" xfId="0" applyFont="1" applyFill="1" applyBorder="1" applyAlignment="1">
      <alignment horizontal="center" vertical="top" wrapText="1"/>
    </xf>
    <xf numFmtId="0" fontId="20" fillId="37" borderId="23" xfId="0" applyFont="1" applyFill="1" applyBorder="1" applyAlignment="1">
      <alignment horizontal="center" vertical="top" wrapText="1"/>
    </xf>
    <xf numFmtId="0" fontId="24" fillId="0" borderId="0" xfId="0" applyFont="1" applyAlignment="1">
      <alignment vertical="top"/>
    </xf>
    <xf numFmtId="0" fontId="20" fillId="38" borderId="11" xfId="0" applyFont="1" applyFill="1" applyBorder="1" applyAlignment="1">
      <alignment horizontal="center" vertical="center" wrapText="1"/>
    </xf>
    <xf numFmtId="0" fontId="20" fillId="38" borderId="24" xfId="0" applyFont="1" applyFill="1" applyBorder="1" applyAlignment="1">
      <alignment horizontal="center" vertical="center" wrapText="1"/>
    </xf>
    <xf numFmtId="0" fontId="20" fillId="39" borderId="11" xfId="0" applyFont="1" applyFill="1" applyBorder="1" applyAlignment="1">
      <alignment horizontal="center" vertical="center" wrapText="1"/>
    </xf>
    <xf numFmtId="0" fontId="20" fillId="39" borderId="24" xfId="0" applyFont="1" applyFill="1" applyBorder="1" applyAlignment="1">
      <alignment horizontal="center" vertical="center" wrapText="1"/>
    </xf>
    <xf numFmtId="0" fontId="20" fillId="40" borderId="11" xfId="0" applyFont="1" applyFill="1" applyBorder="1" applyAlignment="1">
      <alignment horizontal="center" vertical="center" wrapText="1"/>
    </xf>
    <xf numFmtId="0" fontId="20" fillId="41" borderId="25" xfId="0" applyFont="1" applyFill="1" applyBorder="1" applyAlignment="1">
      <alignment horizontal="center" vertical="center" wrapText="1"/>
    </xf>
    <xf numFmtId="0" fontId="20" fillId="41" borderId="24" xfId="0" applyFont="1" applyFill="1" applyBorder="1" applyAlignment="1">
      <alignment horizontal="center" vertical="center" wrapText="1"/>
    </xf>
    <xf numFmtId="0" fontId="20" fillId="42" borderId="24" xfId="0" applyFont="1" applyFill="1" applyBorder="1" applyAlignment="1">
      <alignment horizontal="center" vertical="center" wrapText="1"/>
    </xf>
    <xf numFmtId="0" fontId="20" fillId="37" borderId="26" xfId="0" applyFont="1" applyFill="1" applyBorder="1" applyAlignment="1">
      <alignment horizontal="center" vertical="center" wrapText="1"/>
    </xf>
    <xf numFmtId="0" fontId="25" fillId="43" borderId="27" xfId="0" applyFont="1" applyFill="1" applyBorder="1" applyAlignment="1">
      <alignment horizontal="center" vertical="center" wrapText="1"/>
    </xf>
    <xf numFmtId="0" fontId="26" fillId="44" borderId="27" xfId="0" applyFont="1" applyFill="1" applyBorder="1" applyAlignment="1">
      <alignment horizontal="center" vertical="center" wrapText="1"/>
    </xf>
    <xf numFmtId="0" fontId="26" fillId="45" borderId="28" xfId="0" applyFont="1" applyFill="1" applyBorder="1" applyAlignment="1">
      <alignment horizontal="center" vertical="center" wrapText="1"/>
    </xf>
    <xf numFmtId="0" fontId="26" fillId="46" borderId="27" xfId="0" applyFont="1" applyFill="1" applyBorder="1" applyAlignment="1">
      <alignment horizontal="center" vertical="center" wrapText="1"/>
    </xf>
    <xf numFmtId="0" fontId="26" fillId="46" borderId="28" xfId="0" applyFont="1" applyFill="1" applyBorder="1" applyAlignment="1">
      <alignment horizontal="center" vertical="center" wrapText="1"/>
    </xf>
    <xf numFmtId="0" fontId="26" fillId="35" borderId="29" xfId="0" applyFont="1" applyFill="1" applyBorder="1" applyAlignment="1">
      <alignment horizontal="center" vertical="center" wrapText="1"/>
    </xf>
    <xf numFmtId="0" fontId="26" fillId="35" borderId="30" xfId="0" applyFont="1" applyFill="1" applyBorder="1" applyAlignment="1">
      <alignment horizontal="center" vertical="center" wrapText="1"/>
    </xf>
    <xf numFmtId="0" fontId="26" fillId="35" borderId="31" xfId="0" applyFont="1" applyFill="1" applyBorder="1" applyAlignment="1">
      <alignment horizontal="center" vertical="center" wrapText="1"/>
    </xf>
    <xf numFmtId="0" fontId="25" fillId="43" borderId="32" xfId="0" applyFont="1" applyFill="1" applyBorder="1" applyAlignment="1">
      <alignment horizontal="center" vertical="center" wrapText="1"/>
    </xf>
    <xf numFmtId="0" fontId="26" fillId="44" borderId="28" xfId="0" applyFont="1" applyFill="1" applyBorder="1" applyAlignment="1">
      <alignment horizontal="center" vertical="center" wrapText="1"/>
    </xf>
    <xf numFmtId="0" fontId="26" fillId="47" borderId="27" xfId="0" applyFont="1" applyFill="1" applyBorder="1" applyAlignment="1">
      <alignment horizontal="center" vertical="center" wrapText="1"/>
    </xf>
    <xf numFmtId="0" fontId="26" fillId="47" borderId="28" xfId="0" applyFont="1" applyFill="1" applyBorder="1" applyAlignment="1">
      <alignment horizontal="center" vertical="center" wrapText="1"/>
    </xf>
    <xf numFmtId="0" fontId="26" fillId="35" borderId="33" xfId="0" applyFont="1" applyFill="1" applyBorder="1" applyAlignment="1">
      <alignment horizontal="center" vertical="center" wrapText="1"/>
    </xf>
    <xf numFmtId="0" fontId="26" fillId="35" borderId="34" xfId="0" applyFont="1" applyFill="1" applyBorder="1" applyAlignment="1">
      <alignment horizontal="center" vertical="center" wrapText="1"/>
    </xf>
    <xf numFmtId="0" fontId="26" fillId="35" borderId="35" xfId="0" applyFont="1" applyFill="1" applyBorder="1" applyAlignment="1">
      <alignment horizontal="center" vertical="center" wrapText="1"/>
    </xf>
    <xf numFmtId="0" fontId="26" fillId="45" borderId="27" xfId="0" applyFont="1" applyFill="1" applyBorder="1" applyAlignment="1">
      <alignment horizontal="center" vertical="center" wrapText="1"/>
    </xf>
    <xf numFmtId="0" fontId="26" fillId="48" borderId="28" xfId="0" applyFont="1" applyFill="1" applyBorder="1" applyAlignment="1">
      <alignment horizontal="center" vertical="center" wrapText="1"/>
    </xf>
    <xf numFmtId="0" fontId="25" fillId="43" borderId="11" xfId="0" applyFont="1" applyFill="1" applyBorder="1" applyAlignment="1">
      <alignment horizontal="center" vertical="center" wrapText="1"/>
    </xf>
    <xf numFmtId="0" fontId="26" fillId="47" borderId="11" xfId="0" applyFont="1" applyFill="1" applyBorder="1" applyAlignment="1">
      <alignment horizontal="center" vertical="center" wrapText="1"/>
    </xf>
    <xf numFmtId="0" fontId="26" fillId="47" borderId="24" xfId="0" applyFont="1" applyFill="1" applyBorder="1" applyAlignment="1">
      <alignment horizontal="center" vertical="center" wrapText="1"/>
    </xf>
    <xf numFmtId="0" fontId="26" fillId="35" borderId="19" xfId="0" applyFont="1" applyFill="1" applyBorder="1" applyAlignment="1">
      <alignment horizontal="center" vertical="center" wrapText="1"/>
    </xf>
    <xf numFmtId="0" fontId="26" fillId="35" borderId="36" xfId="0" applyFont="1" applyFill="1" applyBorder="1" applyAlignment="1">
      <alignment horizontal="center" vertical="center" wrapText="1"/>
    </xf>
    <xf numFmtId="0" fontId="26" fillId="35" borderId="37" xfId="0" applyFont="1" applyFill="1" applyBorder="1" applyAlignment="1">
      <alignment horizontal="center" vertical="center" wrapText="1"/>
    </xf>
    <xf numFmtId="0" fontId="25" fillId="37" borderId="11" xfId="0" applyFont="1" applyFill="1" applyBorder="1" applyAlignment="1">
      <alignment horizontal="center" vertical="center" wrapText="1"/>
    </xf>
    <xf numFmtId="0" fontId="25" fillId="38" borderId="11" xfId="0" applyFont="1" applyFill="1" applyBorder="1" applyAlignment="1">
      <alignment horizontal="center" vertical="center" wrapText="1"/>
    </xf>
    <xf numFmtId="0" fontId="25" fillId="38" borderId="24" xfId="0" applyFont="1" applyFill="1" applyBorder="1" applyAlignment="1">
      <alignment horizontal="center" vertical="center" wrapText="1"/>
    </xf>
    <xf numFmtId="0" fontId="25" fillId="39" borderId="11" xfId="0" applyFont="1" applyFill="1" applyBorder="1" applyAlignment="1">
      <alignment horizontal="center" vertical="center" wrapText="1"/>
    </xf>
    <xf numFmtId="0" fontId="25" fillId="39" borderId="24" xfId="0" applyFont="1" applyFill="1" applyBorder="1" applyAlignment="1">
      <alignment horizontal="center" vertical="center" wrapText="1"/>
    </xf>
    <xf numFmtId="0" fontId="25" fillId="40" borderId="11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0" fontId="25" fillId="41" borderId="24" xfId="0" applyFont="1" applyFill="1" applyBorder="1" applyAlignment="1">
      <alignment horizontal="center" vertical="center" wrapText="1"/>
    </xf>
    <xf numFmtId="0" fontId="25" fillId="42" borderId="24" xfId="0" applyFont="1" applyFill="1" applyBorder="1" applyAlignment="1">
      <alignment horizontal="center" vertical="center" wrapText="1"/>
    </xf>
    <xf numFmtId="0" fontId="23" fillId="37" borderId="26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6)" backgroundRefresh="0" connectionId="1" xr16:uid="{B8C9021F-92CD-4FA0-9E34-FFF0923136D7}" autoFormatId="16" applyNumberFormats="0" applyBorderFormats="0" applyFontFormats="0" applyPatternFormats="0" applyAlignmentFormats="0" applyWidthHeightFormats="0">
  <queryTableRefresh nextId="14">
    <queryTableFields count="13">
      <queryTableField id="1" name="Title" tableColumnId="1"/>
      <queryTableField id="2" name="Contract#" tableColumnId="2"/>
      <queryTableField id="9" name="Origin" tableColumnId="3"/>
      <queryTableField id="3" name="Destination" tableColumnId="4"/>
      <queryTableField id="4" name="Rate Type" tableColumnId="5"/>
      <queryTableField id="5" name="Start Date" tableColumnId="6"/>
      <queryTableField id="6" name="Expired Date" tableColumnId="7"/>
      <queryTableField id="10" name="Priority" tableColumnId="8"/>
      <queryTableField id="11" name="Free Time" tableColumnId="9"/>
      <queryTableField id="8" name="Allocation" tableColumnId="10"/>
      <queryTableField id="7" name="Contract Owner" tableColumnId="11"/>
      <queryTableField id="13" name="Item Type" tableColumnId="12"/>
      <queryTableField id="12" name="Path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1E3D3A-998D-477F-A99E-2A2EBCA71652}" name="Table_query__6" displayName="Table_query__6" ref="A1:M25" tableType="queryTable" totalsRowShown="0">
  <autoFilter ref="A1:M25" xr:uid="{021E3D3A-998D-477F-A99E-2A2EBCA71652}"/>
  <tableColumns count="13">
    <tableColumn id="1" xr3:uid="{9504414A-5BF9-4B07-86BA-A4B928DAA670}" uniqueName="Title" name="Title" queryTableFieldId="1" dataDxfId="12"/>
    <tableColumn id="2" xr3:uid="{B19C816B-F47F-4E93-9006-4CD94459A6AD}" uniqueName="Contract_x005f_x0023_" name="Contract#" queryTableFieldId="2" dataDxfId="11"/>
    <tableColumn id="3" xr3:uid="{DB7F9F5F-86FA-4BCD-9D74-46EDD2399CE3}" uniqueName="Origin" name="Origin" queryTableFieldId="9" dataDxfId="10"/>
    <tableColumn id="4" xr3:uid="{3862A6AC-C4A4-4944-B400-E6FD129D107B}" uniqueName="Destination" name="Destination" queryTableFieldId="3" dataDxfId="9"/>
    <tableColumn id="5" xr3:uid="{71505CE6-3396-412A-9B5D-B4FD6348F743}" uniqueName="RateType" name="Rate Type" queryTableFieldId="4" dataDxfId="8"/>
    <tableColumn id="6" xr3:uid="{E3EC0E02-3971-4419-BB75-3D12BB03B230}" uniqueName="StartDate" name="Start Date" queryTableFieldId="5" dataDxfId="7"/>
    <tableColumn id="7" xr3:uid="{80F61619-0D8E-46BB-9DC8-6F2E00A18B06}" uniqueName="ExpiredDate" name="Expired Date" queryTableFieldId="6" dataDxfId="6"/>
    <tableColumn id="8" xr3:uid="{8DE3F1EF-C8DE-461C-A772-61EBD4655A43}" uniqueName="Priority" name="Priority" queryTableFieldId="10" dataDxfId="5"/>
    <tableColumn id="9" xr3:uid="{3525B159-74BF-47FC-A5ED-26D6E953BB91}" uniqueName="FreeTime" name="Free Time" queryTableFieldId="11" dataDxfId="4"/>
    <tableColumn id="10" xr3:uid="{94B73420-CB91-48D6-B9A7-1AE4C3B603FE}" uniqueName="Allocation" name="Allocation" queryTableFieldId="8" dataDxfId="3"/>
    <tableColumn id="11" xr3:uid="{BE5E7155-1011-4773-BB0E-30175C6A9804}" uniqueName="ContractOwner" name="Contract Owner" queryTableFieldId="7" dataDxfId="2"/>
    <tableColumn id="12" xr3:uid="{0BD25DED-A899-46D6-8484-3D28129BD2B2}" uniqueName="FSObjType" name="Item Type" queryTableFieldId="13" dataDxfId="1"/>
    <tableColumn id="13" xr3:uid="{F2BE5C79-F34B-42EF-864E-EF2A4D7B8526}" uniqueName="FileDirRef" name="Path" queryTableFieldId="1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A25D9-A2EA-42E9-8675-703139F1BC8B}">
  <dimension ref="A1:M25"/>
  <sheetViews>
    <sheetView workbookViewId="0">
      <selection activeCell="C28" sqref="C28"/>
    </sheetView>
  </sheetViews>
  <sheetFormatPr defaultRowHeight="15" x14ac:dyDescent="0.25"/>
  <cols>
    <col min="1" max="1" width="7.42578125" bestFit="1" customWidth="1"/>
    <col min="2" max="2" width="17.42578125" bestFit="1" customWidth="1"/>
    <col min="3" max="3" width="55.5703125" bestFit="1" customWidth="1"/>
    <col min="4" max="4" width="13.85546875" bestFit="1" customWidth="1"/>
    <col min="5" max="5" width="24" bestFit="1" customWidth="1"/>
    <col min="6" max="6" width="12.28515625" bestFit="1" customWidth="1"/>
    <col min="7" max="7" width="14.85546875" bestFit="1" customWidth="1"/>
    <col min="8" max="8" width="9.85546875" bestFit="1" customWidth="1"/>
    <col min="9" max="9" width="28.140625" bestFit="1" customWidth="1"/>
    <col min="10" max="10" width="66" bestFit="1" customWidth="1"/>
    <col min="11" max="11" width="17.5703125" bestFit="1" customWidth="1"/>
    <col min="12" max="12" width="12.140625" bestFit="1" customWidth="1"/>
    <col min="13" max="13" width="41.7109375" bestFit="1" customWidth="1"/>
  </cols>
  <sheetData>
    <row r="1" spans="1:13" x14ac:dyDescent="0.25">
      <c r="A1" t="s">
        <v>0</v>
      </c>
      <c r="B1" t="s">
        <v>1</v>
      </c>
      <c r="C1" t="s">
        <v>8</v>
      </c>
      <c r="D1" t="s">
        <v>2</v>
      </c>
      <c r="E1" t="s">
        <v>3</v>
      </c>
      <c r="F1" t="s">
        <v>4</v>
      </c>
      <c r="G1" t="s">
        <v>5</v>
      </c>
      <c r="H1" t="s">
        <v>9</v>
      </c>
      <c r="I1" t="s">
        <v>10</v>
      </c>
      <c r="J1" t="s">
        <v>7</v>
      </c>
      <c r="K1" t="s">
        <v>6</v>
      </c>
      <c r="L1" t="s">
        <v>12</v>
      </c>
      <c r="M1" t="s">
        <v>11</v>
      </c>
    </row>
    <row r="2" spans="1:13" x14ac:dyDescent="0.25">
      <c r="A2" s="1" t="s">
        <v>13</v>
      </c>
      <c r="B2" s="1" t="s">
        <v>14</v>
      </c>
      <c r="C2" s="1" t="s">
        <v>18</v>
      </c>
      <c r="D2" s="1" t="s">
        <v>15</v>
      </c>
      <c r="E2" s="1" t="s">
        <v>16</v>
      </c>
      <c r="F2" s="1"/>
      <c r="G2" s="1"/>
      <c r="H2" s="1" t="s">
        <v>19</v>
      </c>
      <c r="I2" s="1" t="s">
        <v>20</v>
      </c>
      <c r="J2" s="2"/>
      <c r="K2" s="1" t="s">
        <v>17</v>
      </c>
      <c r="L2" s="1" t="s">
        <v>22</v>
      </c>
      <c r="M2" s="1" t="s">
        <v>21</v>
      </c>
    </row>
    <row r="3" spans="1:13" x14ac:dyDescent="0.25">
      <c r="A3" s="1" t="s">
        <v>13</v>
      </c>
      <c r="B3" s="1" t="s">
        <v>23</v>
      </c>
      <c r="C3" s="1" t="s">
        <v>25</v>
      </c>
      <c r="D3" s="1" t="s">
        <v>24</v>
      </c>
      <c r="E3" s="1" t="s">
        <v>16</v>
      </c>
      <c r="F3" s="1"/>
      <c r="G3" s="1"/>
      <c r="H3" s="1" t="s">
        <v>19</v>
      </c>
      <c r="I3" s="1" t="s">
        <v>20</v>
      </c>
      <c r="J3" s="2"/>
      <c r="K3" s="1" t="s">
        <v>17</v>
      </c>
      <c r="L3" s="1" t="s">
        <v>22</v>
      </c>
      <c r="M3" s="1" t="s">
        <v>21</v>
      </c>
    </row>
    <row r="4" spans="1:13" ht="30" x14ac:dyDescent="0.25">
      <c r="A4" s="1" t="s">
        <v>13</v>
      </c>
      <c r="B4" s="1" t="s">
        <v>26</v>
      </c>
      <c r="C4" s="1" t="s">
        <v>31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19</v>
      </c>
      <c r="I4" s="1" t="s">
        <v>20</v>
      </c>
      <c r="J4" s="2" t="s">
        <v>107</v>
      </c>
      <c r="K4" s="1" t="s">
        <v>17</v>
      </c>
      <c r="L4" s="1" t="s">
        <v>22</v>
      </c>
      <c r="M4" s="1" t="s">
        <v>21</v>
      </c>
    </row>
    <row r="5" spans="1:13" x14ac:dyDescent="0.25">
      <c r="A5" s="1" t="s">
        <v>13</v>
      </c>
      <c r="B5" s="1" t="s">
        <v>32</v>
      </c>
      <c r="C5" s="1" t="s">
        <v>25</v>
      </c>
      <c r="D5" s="1" t="s">
        <v>33</v>
      </c>
      <c r="E5" s="1" t="s">
        <v>34</v>
      </c>
      <c r="F5" s="1" t="s">
        <v>35</v>
      </c>
      <c r="G5" s="1" t="s">
        <v>36</v>
      </c>
      <c r="H5" s="1" t="s">
        <v>19</v>
      </c>
      <c r="I5" s="1" t="s">
        <v>20</v>
      </c>
      <c r="J5" s="2"/>
      <c r="K5" s="1" t="s">
        <v>17</v>
      </c>
      <c r="L5" s="1" t="s">
        <v>22</v>
      </c>
      <c r="M5" s="1" t="s">
        <v>21</v>
      </c>
    </row>
    <row r="6" spans="1:13" x14ac:dyDescent="0.25">
      <c r="A6" s="1" t="s">
        <v>37</v>
      </c>
      <c r="B6" s="1" t="s">
        <v>38</v>
      </c>
      <c r="C6" s="1" t="s">
        <v>42</v>
      </c>
      <c r="D6" s="1" t="s">
        <v>15</v>
      </c>
      <c r="E6" s="1" t="s">
        <v>39</v>
      </c>
      <c r="F6" s="1" t="s">
        <v>40</v>
      </c>
      <c r="G6" s="1"/>
      <c r="H6" s="1" t="s">
        <v>19</v>
      </c>
      <c r="I6" s="1" t="s">
        <v>43</v>
      </c>
      <c r="J6" s="2"/>
      <c r="K6" s="1" t="s">
        <v>41</v>
      </c>
      <c r="L6" s="1" t="s">
        <v>22</v>
      </c>
      <c r="M6" s="1" t="s">
        <v>21</v>
      </c>
    </row>
    <row r="7" spans="1:13" x14ac:dyDescent="0.25">
      <c r="A7" s="1" t="s">
        <v>44</v>
      </c>
      <c r="B7" s="1" t="s">
        <v>44</v>
      </c>
      <c r="C7" s="1" t="s">
        <v>60</v>
      </c>
      <c r="D7" s="1" t="s">
        <v>15</v>
      </c>
      <c r="E7" s="1" t="s">
        <v>78</v>
      </c>
      <c r="F7" s="1" t="s">
        <v>35</v>
      </c>
      <c r="G7" s="1" t="s">
        <v>30</v>
      </c>
      <c r="H7" s="1" t="s">
        <v>19</v>
      </c>
      <c r="I7" s="1" t="s">
        <v>20</v>
      </c>
      <c r="J7" s="2"/>
      <c r="K7" s="1" t="s">
        <v>17</v>
      </c>
      <c r="L7" s="1" t="s">
        <v>22</v>
      </c>
      <c r="M7" s="1" t="s">
        <v>21</v>
      </c>
    </row>
    <row r="8" spans="1:13" x14ac:dyDescent="0.25">
      <c r="A8" s="1" t="s">
        <v>37</v>
      </c>
      <c r="B8" s="1" t="s">
        <v>45</v>
      </c>
      <c r="C8" s="1" t="s">
        <v>15</v>
      </c>
      <c r="D8" s="1" t="s">
        <v>46</v>
      </c>
      <c r="E8" s="1" t="s">
        <v>47</v>
      </c>
      <c r="F8" s="1" t="s">
        <v>48</v>
      </c>
      <c r="G8" s="1" t="s">
        <v>49</v>
      </c>
      <c r="H8" s="1" t="s">
        <v>19</v>
      </c>
      <c r="I8" s="1" t="s">
        <v>50</v>
      </c>
      <c r="J8" s="2"/>
      <c r="K8" s="1" t="s">
        <v>41</v>
      </c>
      <c r="L8" s="1" t="s">
        <v>22</v>
      </c>
      <c r="M8" s="1" t="s">
        <v>21</v>
      </c>
    </row>
    <row r="9" spans="1:13" x14ac:dyDescent="0.25">
      <c r="A9" s="1" t="s">
        <v>37</v>
      </c>
      <c r="B9" s="1" t="s">
        <v>51</v>
      </c>
      <c r="C9" s="1" t="s">
        <v>54</v>
      </c>
      <c r="D9" s="1" t="s">
        <v>52</v>
      </c>
      <c r="E9" s="1" t="s">
        <v>47</v>
      </c>
      <c r="F9" s="1" t="s">
        <v>48</v>
      </c>
      <c r="G9" s="1" t="s">
        <v>49</v>
      </c>
      <c r="H9" s="1" t="s">
        <v>19</v>
      </c>
      <c r="I9" s="1" t="s">
        <v>55</v>
      </c>
      <c r="J9" s="2" t="s">
        <v>105</v>
      </c>
      <c r="K9" s="1" t="s">
        <v>53</v>
      </c>
      <c r="L9" s="1" t="s">
        <v>22</v>
      </c>
      <c r="M9" s="1" t="s">
        <v>21</v>
      </c>
    </row>
    <row r="10" spans="1:13" x14ac:dyDescent="0.25">
      <c r="A10" s="1" t="s">
        <v>56</v>
      </c>
      <c r="B10" s="1" t="s">
        <v>57</v>
      </c>
      <c r="C10" s="1" t="s">
        <v>60</v>
      </c>
      <c r="D10" s="1" t="s">
        <v>58</v>
      </c>
      <c r="E10" s="1" t="s">
        <v>59</v>
      </c>
      <c r="F10" s="1" t="s">
        <v>35</v>
      </c>
      <c r="G10" s="1" t="s">
        <v>30</v>
      </c>
      <c r="H10" s="1" t="s">
        <v>61</v>
      </c>
      <c r="I10" s="1" t="s">
        <v>62</v>
      </c>
      <c r="J10" s="2"/>
      <c r="K10" s="1" t="s">
        <v>17</v>
      </c>
      <c r="L10" s="1" t="s">
        <v>22</v>
      </c>
      <c r="M10" s="1" t="s">
        <v>21</v>
      </c>
    </row>
    <row r="11" spans="1:13" x14ac:dyDescent="0.25">
      <c r="A11" s="1" t="s">
        <v>63</v>
      </c>
      <c r="B11" s="1" t="s">
        <v>64</v>
      </c>
      <c r="C11" s="1" t="s">
        <v>66</v>
      </c>
      <c r="D11" s="1" t="s">
        <v>27</v>
      </c>
      <c r="E11" s="1" t="s">
        <v>65</v>
      </c>
      <c r="F11" s="1" t="s">
        <v>35</v>
      </c>
      <c r="G11" s="1" t="s">
        <v>30</v>
      </c>
      <c r="H11" s="1" t="s">
        <v>19</v>
      </c>
      <c r="I11" s="1" t="s">
        <v>20</v>
      </c>
      <c r="J11" s="2" t="s">
        <v>104</v>
      </c>
      <c r="K11" s="1" t="s">
        <v>53</v>
      </c>
      <c r="L11" s="1" t="s">
        <v>22</v>
      </c>
      <c r="M11" s="1" t="s">
        <v>21</v>
      </c>
    </row>
    <row r="12" spans="1:13" x14ac:dyDescent="0.25">
      <c r="A12" s="1" t="s">
        <v>37</v>
      </c>
      <c r="B12" s="1" t="s">
        <v>67</v>
      </c>
      <c r="C12" s="1" t="s">
        <v>25</v>
      </c>
      <c r="D12" s="1" t="s">
        <v>54</v>
      </c>
      <c r="E12" s="1" t="s">
        <v>47</v>
      </c>
      <c r="F12" s="1" t="s">
        <v>48</v>
      </c>
      <c r="G12" s="1" t="s">
        <v>49</v>
      </c>
      <c r="H12" s="1" t="s">
        <v>19</v>
      </c>
      <c r="I12" s="1" t="s">
        <v>69</v>
      </c>
      <c r="J12" s="2" t="s">
        <v>68</v>
      </c>
      <c r="K12" s="1" t="s">
        <v>41</v>
      </c>
      <c r="L12" s="1" t="s">
        <v>22</v>
      </c>
      <c r="M12" s="1" t="s">
        <v>21</v>
      </c>
    </row>
    <row r="13" spans="1:13" x14ac:dyDescent="0.25">
      <c r="A13" s="1" t="s">
        <v>70</v>
      </c>
      <c r="B13" s="1" t="s">
        <v>71</v>
      </c>
      <c r="C13" s="1" t="s">
        <v>74</v>
      </c>
      <c r="D13" s="1" t="s">
        <v>15</v>
      </c>
      <c r="E13" s="1" t="s">
        <v>72</v>
      </c>
      <c r="F13" s="1" t="s">
        <v>35</v>
      </c>
      <c r="G13" s="1" t="s">
        <v>30</v>
      </c>
      <c r="H13" s="1" t="s">
        <v>19</v>
      </c>
      <c r="I13" s="1" t="s">
        <v>20</v>
      </c>
      <c r="J13" s="2" t="s">
        <v>73</v>
      </c>
      <c r="K13" s="1" t="s">
        <v>17</v>
      </c>
      <c r="L13" s="1" t="s">
        <v>22</v>
      </c>
      <c r="M13" s="1" t="s">
        <v>21</v>
      </c>
    </row>
    <row r="14" spans="1:13" x14ac:dyDescent="0.25">
      <c r="A14" s="1" t="s">
        <v>76</v>
      </c>
      <c r="B14" s="1" t="s">
        <v>77</v>
      </c>
      <c r="C14" s="1" t="s">
        <v>79</v>
      </c>
      <c r="D14" s="1" t="s">
        <v>54</v>
      </c>
      <c r="E14" s="1" t="s">
        <v>78</v>
      </c>
      <c r="F14" s="1" t="s">
        <v>35</v>
      </c>
      <c r="G14" s="1" t="s">
        <v>36</v>
      </c>
      <c r="H14" s="1" t="s">
        <v>19</v>
      </c>
      <c r="I14" s="1" t="s">
        <v>20</v>
      </c>
      <c r="J14" s="2"/>
      <c r="K14" s="1" t="s">
        <v>17</v>
      </c>
      <c r="L14" s="1" t="s">
        <v>22</v>
      </c>
      <c r="M14" s="1" t="s">
        <v>21</v>
      </c>
    </row>
    <row r="15" spans="1:13" x14ac:dyDescent="0.25">
      <c r="A15" s="1" t="s">
        <v>76</v>
      </c>
      <c r="B15" s="1" t="s">
        <v>80</v>
      </c>
      <c r="C15" s="1" t="s">
        <v>83</v>
      </c>
      <c r="D15" s="1" t="s">
        <v>27</v>
      </c>
      <c r="E15" s="1" t="s">
        <v>81</v>
      </c>
      <c r="F15" s="1" t="s">
        <v>35</v>
      </c>
      <c r="G15" s="1" t="s">
        <v>30</v>
      </c>
      <c r="H15" s="1" t="s">
        <v>19</v>
      </c>
      <c r="I15" s="1" t="s">
        <v>20</v>
      </c>
      <c r="J15" s="2" t="s">
        <v>82</v>
      </c>
      <c r="K15" s="1" t="s">
        <v>17</v>
      </c>
      <c r="L15" s="1" t="s">
        <v>22</v>
      </c>
      <c r="M15" s="1" t="s">
        <v>21</v>
      </c>
    </row>
    <row r="16" spans="1:13" x14ac:dyDescent="0.25">
      <c r="A16" s="1" t="s">
        <v>70</v>
      </c>
      <c r="B16" s="1" t="s">
        <v>84</v>
      </c>
      <c r="C16" s="1" t="s">
        <v>86</v>
      </c>
      <c r="D16" s="1" t="s">
        <v>15</v>
      </c>
      <c r="E16" s="1" t="s">
        <v>85</v>
      </c>
      <c r="F16" s="1" t="s">
        <v>35</v>
      </c>
      <c r="G16" s="1" t="s">
        <v>30</v>
      </c>
      <c r="H16" s="1" t="s">
        <v>19</v>
      </c>
      <c r="I16" s="1" t="s">
        <v>20</v>
      </c>
      <c r="J16" s="2" t="s">
        <v>106</v>
      </c>
      <c r="K16" s="1" t="s">
        <v>17</v>
      </c>
      <c r="L16" s="1" t="s">
        <v>22</v>
      </c>
      <c r="M16" s="1" t="s">
        <v>21</v>
      </c>
    </row>
    <row r="17" spans="1:13" x14ac:dyDescent="0.25">
      <c r="A17" s="1" t="s">
        <v>63</v>
      </c>
      <c r="B17" s="1" t="s">
        <v>87</v>
      </c>
      <c r="C17" s="1" t="s">
        <v>79</v>
      </c>
      <c r="D17" s="1" t="s">
        <v>15</v>
      </c>
      <c r="E17" s="1" t="s">
        <v>78</v>
      </c>
      <c r="F17" s="1" t="s">
        <v>88</v>
      </c>
      <c r="G17" s="1"/>
      <c r="H17" s="1" t="s">
        <v>19</v>
      </c>
      <c r="I17" s="1" t="s">
        <v>20</v>
      </c>
      <c r="J17" s="2"/>
      <c r="K17" s="1" t="s">
        <v>53</v>
      </c>
      <c r="L17" s="1" t="s">
        <v>22</v>
      </c>
      <c r="M17" s="1" t="s">
        <v>21</v>
      </c>
    </row>
    <row r="18" spans="1:13" x14ac:dyDescent="0.25">
      <c r="A18" s="1" t="s">
        <v>70</v>
      </c>
      <c r="B18" s="1" t="s">
        <v>89</v>
      </c>
      <c r="C18" s="1" t="s">
        <v>79</v>
      </c>
      <c r="D18" s="1" t="s">
        <v>54</v>
      </c>
      <c r="E18" s="1" t="s">
        <v>78</v>
      </c>
      <c r="F18" s="1" t="s">
        <v>88</v>
      </c>
      <c r="G18" s="1"/>
      <c r="H18" s="1" t="s">
        <v>19</v>
      </c>
      <c r="I18" s="1" t="s">
        <v>20</v>
      </c>
      <c r="J18" s="2"/>
      <c r="K18" s="1" t="s">
        <v>17</v>
      </c>
      <c r="L18" s="1" t="s">
        <v>22</v>
      </c>
      <c r="M18" s="1" t="s">
        <v>21</v>
      </c>
    </row>
    <row r="19" spans="1:13" x14ac:dyDescent="0.25">
      <c r="A19" s="1" t="s">
        <v>76</v>
      </c>
      <c r="B19" s="1" t="s">
        <v>77</v>
      </c>
      <c r="C19" s="1" t="s">
        <v>79</v>
      </c>
      <c r="D19" s="1" t="s">
        <v>54</v>
      </c>
      <c r="E19" s="1" t="s">
        <v>78</v>
      </c>
      <c r="F19" s="1" t="s">
        <v>90</v>
      </c>
      <c r="G19" s="1" t="s">
        <v>75</v>
      </c>
      <c r="H19" s="1" t="s">
        <v>19</v>
      </c>
      <c r="I19" s="1" t="s">
        <v>43</v>
      </c>
      <c r="J19" s="2"/>
      <c r="K19" s="1" t="s">
        <v>17</v>
      </c>
      <c r="L19" s="1" t="s">
        <v>22</v>
      </c>
      <c r="M19" s="1" t="s">
        <v>21</v>
      </c>
    </row>
    <row r="20" spans="1:13" x14ac:dyDescent="0.25">
      <c r="A20" s="1" t="s">
        <v>91</v>
      </c>
      <c r="B20" s="1" t="s">
        <v>92</v>
      </c>
      <c r="C20" s="1" t="s">
        <v>60</v>
      </c>
      <c r="D20" s="1" t="s">
        <v>27</v>
      </c>
      <c r="E20" s="1" t="s">
        <v>78</v>
      </c>
      <c r="F20" s="1" t="s">
        <v>88</v>
      </c>
      <c r="G20" s="1"/>
      <c r="H20" s="1" t="s">
        <v>93</v>
      </c>
      <c r="I20" s="1" t="s">
        <v>20</v>
      </c>
      <c r="J20" s="2"/>
      <c r="K20" s="1" t="s">
        <v>17</v>
      </c>
      <c r="L20" s="1" t="s">
        <v>22</v>
      </c>
      <c r="M20" s="1" t="s">
        <v>21</v>
      </c>
    </row>
    <row r="21" spans="1:13" x14ac:dyDescent="0.25">
      <c r="A21" s="1" t="s">
        <v>63</v>
      </c>
      <c r="B21" s="1" t="s">
        <v>94</v>
      </c>
      <c r="C21" s="1" t="s">
        <v>83</v>
      </c>
      <c r="D21" s="1" t="s">
        <v>15</v>
      </c>
      <c r="E21" s="1" t="s">
        <v>95</v>
      </c>
      <c r="F21" s="1" t="s">
        <v>35</v>
      </c>
      <c r="G21" s="1" t="s">
        <v>30</v>
      </c>
      <c r="H21" s="1" t="s">
        <v>19</v>
      </c>
      <c r="I21" s="1" t="s">
        <v>20</v>
      </c>
      <c r="J21" s="2" t="s">
        <v>96</v>
      </c>
      <c r="K21" s="1" t="s">
        <v>53</v>
      </c>
      <c r="L21" s="1" t="s">
        <v>22</v>
      </c>
      <c r="M21" s="1" t="s">
        <v>21</v>
      </c>
    </row>
    <row r="22" spans="1:13" x14ac:dyDescent="0.25">
      <c r="A22" s="1" t="s">
        <v>37</v>
      </c>
      <c r="B22" s="1" t="s">
        <v>98</v>
      </c>
      <c r="C22" s="1" t="s">
        <v>108</v>
      </c>
      <c r="D22" s="1" t="s">
        <v>97</v>
      </c>
      <c r="E22" s="1" t="s">
        <v>39</v>
      </c>
      <c r="F22" s="1" t="s">
        <v>40</v>
      </c>
      <c r="G22" s="1"/>
      <c r="H22" s="1" t="s">
        <v>61</v>
      </c>
      <c r="I22" s="1" t="s">
        <v>69</v>
      </c>
      <c r="J22" s="2" t="s">
        <v>99</v>
      </c>
      <c r="K22" s="1" t="s">
        <v>41</v>
      </c>
      <c r="L22" s="1" t="s">
        <v>22</v>
      </c>
      <c r="M22" s="1" t="s">
        <v>21</v>
      </c>
    </row>
    <row r="23" spans="1:13" x14ac:dyDescent="0.25">
      <c r="A23" s="1" t="s">
        <v>37</v>
      </c>
      <c r="B23" s="1" t="s">
        <v>98</v>
      </c>
      <c r="C23" s="1" t="s">
        <v>60</v>
      </c>
      <c r="D23" s="1" t="s">
        <v>27</v>
      </c>
      <c r="E23" s="1" t="s">
        <v>39</v>
      </c>
      <c r="F23" s="1" t="s">
        <v>40</v>
      </c>
      <c r="G23" s="1"/>
      <c r="H23" s="1" t="s">
        <v>61</v>
      </c>
      <c r="I23" s="1" t="s">
        <v>69</v>
      </c>
      <c r="J23" s="2" t="s">
        <v>100</v>
      </c>
      <c r="K23" s="1" t="s">
        <v>41</v>
      </c>
      <c r="L23" s="1" t="s">
        <v>22</v>
      </c>
      <c r="M23" s="1" t="s">
        <v>21</v>
      </c>
    </row>
    <row r="24" spans="1:13" x14ac:dyDescent="0.25">
      <c r="A24" s="1" t="s">
        <v>56</v>
      </c>
      <c r="B24" s="1" t="s">
        <v>101</v>
      </c>
      <c r="C24" s="1" t="s">
        <v>79</v>
      </c>
      <c r="D24" s="1" t="s">
        <v>54</v>
      </c>
      <c r="E24" s="1" t="s">
        <v>78</v>
      </c>
      <c r="F24" s="1" t="s">
        <v>88</v>
      </c>
      <c r="G24" s="1"/>
      <c r="H24" s="1" t="s">
        <v>93</v>
      </c>
      <c r="I24" s="1" t="s">
        <v>20</v>
      </c>
      <c r="J24" s="2"/>
      <c r="K24" s="1" t="s">
        <v>17</v>
      </c>
      <c r="L24" s="1" t="s">
        <v>22</v>
      </c>
      <c r="M24" s="1" t="s">
        <v>21</v>
      </c>
    </row>
    <row r="25" spans="1:13" x14ac:dyDescent="0.25">
      <c r="A25" s="1" t="s">
        <v>56</v>
      </c>
      <c r="B25" s="1" t="s">
        <v>102</v>
      </c>
      <c r="C25" s="1" t="s">
        <v>79</v>
      </c>
      <c r="D25" s="1" t="s">
        <v>54</v>
      </c>
      <c r="E25" s="1" t="s">
        <v>103</v>
      </c>
      <c r="F25" s="1" t="s">
        <v>88</v>
      </c>
      <c r="G25" s="1"/>
      <c r="H25" s="1" t="s">
        <v>61</v>
      </c>
      <c r="I25" s="1" t="s">
        <v>20</v>
      </c>
      <c r="J25" s="2"/>
      <c r="K25" s="1" t="s">
        <v>17</v>
      </c>
      <c r="L25" s="1" t="s">
        <v>22</v>
      </c>
      <c r="M25" s="1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52982-3117-48B9-9A9F-200B9270A310}">
  <dimension ref="A1:P15"/>
  <sheetViews>
    <sheetView tabSelected="1" zoomScale="120" zoomScaleNormal="120" workbookViewId="0">
      <pane xSplit="1" ySplit="6" topLeftCell="B7" activePane="bottomRight" state="frozen"/>
      <selection pane="topRight"/>
      <selection pane="bottomLeft"/>
      <selection pane="bottomRight" activeCell="C18" sqref="C18"/>
    </sheetView>
  </sheetViews>
  <sheetFormatPr defaultRowHeight="15" x14ac:dyDescent="0.25"/>
  <cols>
    <col min="1" max="1" width="10.7109375" customWidth="1"/>
    <col min="2" max="2" width="16.7109375" customWidth="1"/>
    <col min="3" max="3" width="15.85546875" customWidth="1"/>
    <col min="4" max="4" width="11.5703125" bestFit="1" customWidth="1"/>
    <col min="5" max="5" width="11.140625" bestFit="1" customWidth="1"/>
    <col min="6" max="6" width="10.28515625" bestFit="1" customWidth="1"/>
    <col min="7" max="7" width="10.85546875" bestFit="1" customWidth="1"/>
    <col min="8" max="8" width="12.28515625" customWidth="1"/>
    <col min="9" max="9" width="13.28515625" customWidth="1"/>
    <col min="10" max="10" width="15.140625" customWidth="1"/>
    <col min="11" max="11" width="28" customWidth="1"/>
    <col min="12" max="12" width="13.140625" customWidth="1"/>
    <col min="13" max="13" width="12.5703125" hidden="1" customWidth="1"/>
    <col min="14" max="14" width="15.5703125" customWidth="1"/>
    <col min="15" max="15" width="23.42578125" hidden="1" customWidth="1"/>
    <col min="16" max="16" width="13.42578125" customWidth="1"/>
  </cols>
  <sheetData>
    <row r="1" spans="1:16" ht="21.95" customHeight="1" x14ac:dyDescent="0.25">
      <c r="A1" s="3" t="s">
        <v>109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spans="1:16" ht="15.95" customHeight="1" x14ac:dyDescent="0.25">
      <c r="A2" s="5" t="s">
        <v>110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</row>
    <row r="3" spans="1:16" s="12" customFormat="1" ht="31.5" customHeight="1" thickBot="1" x14ac:dyDescent="0.3">
      <c r="A3" s="7" t="s">
        <v>111</v>
      </c>
      <c r="B3" s="8" t="s">
        <v>112</v>
      </c>
      <c r="C3" s="9"/>
      <c r="D3" s="10" t="s">
        <v>113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1"/>
    </row>
    <row r="4" spans="1:16" s="25" customFormat="1" ht="51" x14ac:dyDescent="0.25">
      <c r="A4" s="13"/>
      <c r="B4" s="14" t="s">
        <v>114</v>
      </c>
      <c r="C4" s="15"/>
      <c r="D4" s="16" t="s">
        <v>115</v>
      </c>
      <c r="E4" s="17"/>
      <c r="F4" s="17"/>
      <c r="G4" s="17"/>
      <c r="H4" s="17"/>
      <c r="I4" s="17"/>
      <c r="J4" s="18"/>
      <c r="K4" s="19" t="s">
        <v>116</v>
      </c>
      <c r="L4" s="20" t="s">
        <v>117</v>
      </c>
      <c r="M4" s="21"/>
      <c r="N4" s="22"/>
      <c r="O4" s="23" t="s">
        <v>118</v>
      </c>
      <c r="P4" s="24"/>
    </row>
    <row r="5" spans="1:16" s="38" customFormat="1" ht="123.75" hidden="1" customHeight="1" thickBot="1" x14ac:dyDescent="0.3">
      <c r="A5" s="26" t="s">
        <v>119</v>
      </c>
      <c r="B5" s="27" t="s">
        <v>120</v>
      </c>
      <c r="C5" s="28"/>
      <c r="D5" s="29" t="s">
        <v>121</v>
      </c>
      <c r="E5" s="30"/>
      <c r="F5" s="30"/>
      <c r="G5" s="30"/>
      <c r="H5" s="30"/>
      <c r="I5" s="30"/>
      <c r="J5" s="31"/>
      <c r="K5" s="32" t="s">
        <v>122</v>
      </c>
      <c r="L5" s="33" t="s">
        <v>123</v>
      </c>
      <c r="M5" s="34"/>
      <c r="N5" s="35"/>
      <c r="O5" s="36" t="s">
        <v>124</v>
      </c>
      <c r="P5" s="37" t="s">
        <v>125</v>
      </c>
    </row>
    <row r="6" spans="1:16" ht="42" customHeight="1" thickBot="1" x14ac:dyDescent="0.3">
      <c r="A6" s="7" t="s">
        <v>126</v>
      </c>
      <c r="B6" s="39" t="s">
        <v>127</v>
      </c>
      <c r="C6" s="40" t="s">
        <v>128</v>
      </c>
      <c r="D6" s="41" t="s">
        <v>129</v>
      </c>
      <c r="E6" s="42" t="s">
        <v>130</v>
      </c>
      <c r="F6" s="42" t="s">
        <v>131</v>
      </c>
      <c r="G6" s="42" t="s">
        <v>132</v>
      </c>
      <c r="H6" s="42" t="s">
        <v>133</v>
      </c>
      <c r="I6" s="42" t="s">
        <v>134</v>
      </c>
      <c r="J6" s="42" t="s">
        <v>135</v>
      </c>
      <c r="K6" s="43" t="s">
        <v>136</v>
      </c>
      <c r="L6" s="44" t="s">
        <v>137</v>
      </c>
      <c r="M6" s="45" t="s">
        <v>138</v>
      </c>
      <c r="N6" s="45" t="s">
        <v>139</v>
      </c>
      <c r="O6" s="46" t="s">
        <v>136</v>
      </c>
      <c r="P6" s="47"/>
    </row>
    <row r="7" spans="1:16" ht="18.75" customHeight="1" x14ac:dyDescent="0.25">
      <c r="A7" s="48" t="s">
        <v>140</v>
      </c>
      <c r="B7" s="49">
        <v>12</v>
      </c>
      <c r="C7" s="50" t="s">
        <v>141</v>
      </c>
      <c r="D7" s="51">
        <v>6</v>
      </c>
      <c r="E7" s="52">
        <v>6</v>
      </c>
      <c r="F7" s="52">
        <v>4</v>
      </c>
      <c r="G7" s="50" t="s">
        <v>141</v>
      </c>
      <c r="H7" s="52">
        <v>2</v>
      </c>
      <c r="I7" s="50" t="s">
        <v>141</v>
      </c>
      <c r="J7" s="50" t="s">
        <v>141</v>
      </c>
      <c r="K7" s="51">
        <v>18</v>
      </c>
      <c r="L7" s="53">
        <v>20</v>
      </c>
      <c r="M7" s="54"/>
      <c r="N7" s="55">
        <v>2</v>
      </c>
      <c r="O7" s="50" t="s">
        <v>141</v>
      </c>
      <c r="P7" s="56">
        <f>SUM(B7:C7,D7:J7,K7:K7,O7)</f>
        <v>48</v>
      </c>
    </row>
    <row r="8" spans="1:16" ht="17.100000000000001" customHeight="1" x14ac:dyDescent="0.25">
      <c r="A8" s="48" t="s">
        <v>142</v>
      </c>
      <c r="B8" s="49">
        <v>6</v>
      </c>
      <c r="C8" s="57">
        <v>4</v>
      </c>
      <c r="D8" s="58" t="s">
        <v>141</v>
      </c>
      <c r="E8" s="59" t="s">
        <v>141</v>
      </c>
      <c r="F8" s="59" t="s">
        <v>141</v>
      </c>
      <c r="G8" s="52">
        <v>2</v>
      </c>
      <c r="H8" s="52">
        <v>6</v>
      </c>
      <c r="I8" s="52">
        <v>2</v>
      </c>
      <c r="J8" s="59" t="s">
        <v>141</v>
      </c>
      <c r="K8" s="51">
        <v>10</v>
      </c>
      <c r="L8" s="60"/>
      <c r="M8" s="61"/>
      <c r="N8" s="62"/>
      <c r="O8" s="59" t="s">
        <v>141</v>
      </c>
      <c r="P8" s="56">
        <f>SUM(B8:C8,D8:J8,K8:K8,L7:N7,O8)</f>
        <v>52</v>
      </c>
    </row>
    <row r="9" spans="1:16" ht="17.100000000000001" customHeight="1" x14ac:dyDescent="0.25">
      <c r="A9" s="48" t="s">
        <v>143</v>
      </c>
      <c r="B9" s="49">
        <v>4</v>
      </c>
      <c r="C9" s="57">
        <v>4</v>
      </c>
      <c r="D9" s="63" t="s">
        <v>141</v>
      </c>
      <c r="E9" s="50" t="s">
        <v>141</v>
      </c>
      <c r="F9" s="50" t="s">
        <v>141</v>
      </c>
      <c r="G9" s="50" t="s">
        <v>141</v>
      </c>
      <c r="H9" s="50" t="s">
        <v>141</v>
      </c>
      <c r="I9" s="52">
        <v>4</v>
      </c>
      <c r="J9" s="50" t="s">
        <v>141</v>
      </c>
      <c r="K9" s="51">
        <v>4</v>
      </c>
      <c r="L9" s="60"/>
      <c r="M9" s="61"/>
      <c r="N9" s="62"/>
      <c r="O9" s="50" t="s">
        <v>141</v>
      </c>
      <c r="P9" s="56">
        <f t="shared" ref="P9:P16" si="0">SUM(B9:C9,D9:J9,K9:K9,L9:N9,O9)</f>
        <v>16</v>
      </c>
    </row>
    <row r="10" spans="1:16" ht="17.100000000000001" customHeight="1" x14ac:dyDescent="0.25">
      <c r="A10" s="48" t="s">
        <v>144</v>
      </c>
      <c r="B10" s="49">
        <v>6</v>
      </c>
      <c r="C10" s="59" t="s">
        <v>141</v>
      </c>
      <c r="D10" s="58" t="s">
        <v>141</v>
      </c>
      <c r="E10" s="59" t="s">
        <v>141</v>
      </c>
      <c r="F10" s="59" t="s">
        <v>141</v>
      </c>
      <c r="G10" s="59" t="s">
        <v>141</v>
      </c>
      <c r="H10" s="52">
        <v>4</v>
      </c>
      <c r="I10" s="59" t="s">
        <v>141</v>
      </c>
      <c r="J10" s="59" t="s">
        <v>141</v>
      </c>
      <c r="K10" s="51">
        <v>4</v>
      </c>
      <c r="L10" s="60"/>
      <c r="M10" s="61"/>
      <c r="N10" s="62"/>
      <c r="O10" s="64" t="s">
        <v>141</v>
      </c>
      <c r="P10" s="56">
        <f>SUM(B10:C10,D10:J10,K10:K10,O10)</f>
        <v>14</v>
      </c>
    </row>
    <row r="11" spans="1:16" ht="17.100000000000001" customHeight="1" x14ac:dyDescent="0.25">
      <c r="A11" s="48" t="s">
        <v>145</v>
      </c>
      <c r="B11" s="49">
        <v>6</v>
      </c>
      <c r="C11" s="50" t="s">
        <v>141</v>
      </c>
      <c r="D11" s="63" t="s">
        <v>141</v>
      </c>
      <c r="E11" s="50" t="s">
        <v>141</v>
      </c>
      <c r="F11" s="50" t="s">
        <v>141</v>
      </c>
      <c r="G11" s="50" t="s">
        <v>141</v>
      </c>
      <c r="H11" s="50" t="s">
        <v>141</v>
      </c>
      <c r="I11" s="50" t="s">
        <v>141</v>
      </c>
      <c r="J11" s="50" t="s">
        <v>141</v>
      </c>
      <c r="K11" s="63" t="s">
        <v>141</v>
      </c>
      <c r="L11" s="60"/>
      <c r="M11" s="61"/>
      <c r="N11" s="62"/>
      <c r="O11" s="50" t="s">
        <v>141</v>
      </c>
      <c r="P11" s="56">
        <f>SUM(B11:C11,D11:J11,K11:K11,O11)</f>
        <v>6</v>
      </c>
    </row>
    <row r="12" spans="1:16" ht="17.100000000000001" customHeight="1" x14ac:dyDescent="0.25">
      <c r="A12" s="48" t="s">
        <v>146</v>
      </c>
      <c r="B12" s="58" t="s">
        <v>141</v>
      </c>
      <c r="C12" s="59" t="s">
        <v>141</v>
      </c>
      <c r="D12" s="58" t="s">
        <v>141</v>
      </c>
      <c r="E12" s="59" t="s">
        <v>141</v>
      </c>
      <c r="F12" s="59" t="s">
        <v>141</v>
      </c>
      <c r="G12" s="59" t="s">
        <v>141</v>
      </c>
      <c r="H12" s="59" t="s">
        <v>141</v>
      </c>
      <c r="I12" s="59" t="s">
        <v>141</v>
      </c>
      <c r="J12" s="59" t="s">
        <v>141</v>
      </c>
      <c r="K12" s="58" t="s">
        <v>141</v>
      </c>
      <c r="L12" s="60"/>
      <c r="M12" s="61"/>
      <c r="N12" s="62"/>
      <c r="O12" s="59" t="s">
        <v>141</v>
      </c>
      <c r="P12" s="56">
        <f t="shared" si="0"/>
        <v>0</v>
      </c>
    </row>
    <row r="13" spans="1:16" ht="17.100000000000001" customHeight="1" x14ac:dyDescent="0.25">
      <c r="A13" s="48" t="s">
        <v>63</v>
      </c>
      <c r="B13" s="63" t="s">
        <v>141</v>
      </c>
      <c r="C13" s="50" t="s">
        <v>141</v>
      </c>
      <c r="D13" s="63" t="s">
        <v>141</v>
      </c>
      <c r="E13" s="50" t="s">
        <v>141</v>
      </c>
      <c r="F13" s="50" t="s">
        <v>141</v>
      </c>
      <c r="G13" s="50" t="s">
        <v>141</v>
      </c>
      <c r="H13" s="50" t="s">
        <v>141</v>
      </c>
      <c r="I13" s="50" t="s">
        <v>141</v>
      </c>
      <c r="J13" s="52">
        <v>5</v>
      </c>
      <c r="K13" s="51">
        <v>5</v>
      </c>
      <c r="L13" s="60"/>
      <c r="M13" s="61"/>
      <c r="N13" s="62"/>
      <c r="O13" s="50" t="s">
        <v>141</v>
      </c>
      <c r="P13" s="56">
        <f t="shared" si="0"/>
        <v>10</v>
      </c>
    </row>
    <row r="14" spans="1:16" ht="17.100000000000001" customHeight="1" thickBot="1" x14ac:dyDescent="0.3">
      <c r="A14" s="65" t="s">
        <v>147</v>
      </c>
      <c r="B14" s="66" t="s">
        <v>141</v>
      </c>
      <c r="C14" s="67" t="s">
        <v>141</v>
      </c>
      <c r="D14" s="66" t="s">
        <v>141</v>
      </c>
      <c r="E14" s="67" t="s">
        <v>141</v>
      </c>
      <c r="F14" s="67" t="s">
        <v>141</v>
      </c>
      <c r="G14" s="67" t="s">
        <v>141</v>
      </c>
      <c r="H14" s="67" t="s">
        <v>141</v>
      </c>
      <c r="I14" s="67" t="s">
        <v>141</v>
      </c>
      <c r="J14" s="67" t="s">
        <v>141</v>
      </c>
      <c r="K14" s="66" t="s">
        <v>141</v>
      </c>
      <c r="L14" s="68"/>
      <c r="M14" s="69"/>
      <c r="N14" s="70"/>
      <c r="O14" s="67" t="s">
        <v>141</v>
      </c>
      <c r="P14" s="56">
        <f t="shared" si="0"/>
        <v>0</v>
      </c>
    </row>
    <row r="15" spans="1:16" ht="20.100000000000001" customHeight="1" thickBot="1" x14ac:dyDescent="0.3">
      <c r="A15" s="71" t="s">
        <v>148</v>
      </c>
      <c r="B15" s="72">
        <f>SUM(B7:B14)</f>
        <v>34</v>
      </c>
      <c r="C15" s="73">
        <f>SUM(C7:C14)</f>
        <v>8</v>
      </c>
      <c r="D15" s="74">
        <f t="shared" ref="D15:P15" si="1">SUM(D7:D14)</f>
        <v>6</v>
      </c>
      <c r="E15" s="75">
        <f t="shared" si="1"/>
        <v>6</v>
      </c>
      <c r="F15" s="75">
        <f t="shared" si="1"/>
        <v>4</v>
      </c>
      <c r="G15" s="75">
        <f t="shared" si="1"/>
        <v>2</v>
      </c>
      <c r="H15" s="75">
        <f t="shared" si="1"/>
        <v>12</v>
      </c>
      <c r="I15" s="75">
        <f t="shared" si="1"/>
        <v>6</v>
      </c>
      <c r="J15" s="75">
        <f t="shared" si="1"/>
        <v>5</v>
      </c>
      <c r="K15" s="76">
        <f t="shared" si="1"/>
        <v>41</v>
      </c>
      <c r="L15" s="77">
        <f t="shared" si="1"/>
        <v>20</v>
      </c>
      <c r="M15" s="78">
        <f t="shared" si="1"/>
        <v>0</v>
      </c>
      <c r="N15" s="78">
        <f t="shared" si="1"/>
        <v>2</v>
      </c>
      <c r="O15" s="79">
        <f>SUM(O7:O14)</f>
        <v>0</v>
      </c>
      <c r="P15" s="80">
        <f t="shared" si="1"/>
        <v>146</v>
      </c>
    </row>
  </sheetData>
  <mergeCells count="13">
    <mergeCell ref="B5:C5"/>
    <mergeCell ref="D5:J5"/>
    <mergeCell ref="L5:N5"/>
    <mergeCell ref="L7:L14"/>
    <mergeCell ref="M7:M14"/>
    <mergeCell ref="N7:N14"/>
    <mergeCell ref="A1:P1"/>
    <mergeCell ref="A2:P2"/>
    <mergeCell ref="B3:C3"/>
    <mergeCell ref="D3:O3"/>
    <mergeCell ref="B4:C4"/>
    <mergeCell ref="D4:J4"/>
    <mergeCell ref="L4:N4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query (6)</vt:lpstr>
      <vt:lpstr>2026 NEA Allocation</vt:lpstr>
      <vt:lpstr>'2026 NEA Allocation'!Print_Titles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Chace</dc:creator>
  <cp:lastModifiedBy>Kate Chace</cp:lastModifiedBy>
  <dcterms:created xsi:type="dcterms:W3CDTF">2026-06-12T02:57:05Z</dcterms:created>
  <dcterms:modified xsi:type="dcterms:W3CDTF">2026-06-12T03:04:34Z</dcterms:modified>
</cp:coreProperties>
</file>